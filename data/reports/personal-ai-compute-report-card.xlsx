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1bf159a2424f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9020c00e1cb428d"/>
    <x:sheet xmlns:r="http://schemas.openxmlformats.org/officeDocument/2006/relationships" name="Compute Report Card" sheetId="2" r:id="R9d241550df324d0d"/>
    <x:sheet xmlns:r="http://schemas.openxmlformats.org/officeDocument/2006/relationships" name="Quarterly Model" sheetId="3" r:id="Rc10bc933a7e149aa"/>
    <x:sheet xmlns:r="http://schemas.openxmlformats.org/officeDocument/2006/relationships" name="Assumptions" sheetId="4" r:id="R163ee4ffbee94053"/>
    <x:sheet xmlns:r="http://schemas.openxmlformats.org/officeDocument/2006/relationships" name="Observations" sheetId="5" r:id="Rb0adb89e26b24bcb"/>
    <x:sheet xmlns:r="http://schemas.openxmlformats.org/officeDocument/2006/relationships" name="Sources" sheetId="6" r:id="Rb5b5cff3236340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4" fillId="4" borderId="1" xfId="0" applyNumberFormat="1" applyFont="1" applyFill="1" applyBorder="1" applyAlignment="1">
      <x:alignment vertical="top" wrapText="1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2f37be41214901" /><Relationship Type="http://schemas.openxmlformats.org/officeDocument/2006/relationships/theme" Target="/xl/theme/theme1.xml" Id="R78449b33645b44e0" /><Relationship Type="http://schemas.openxmlformats.org/officeDocument/2006/relationships/sharedStrings" Target="/xl/sharedStrings.xml" Id="R75ea644471014b5f" /><Relationship Type="http://schemas.openxmlformats.org/officeDocument/2006/relationships/worksheet" Target="/xl/worksheets/sheet1.xml" Id="R39020c00e1cb428d" /><Relationship Type="http://schemas.openxmlformats.org/officeDocument/2006/relationships/worksheet" Target="/xl/worksheets/sheet2.xml" Id="R9d241550df324d0d" /><Relationship Type="http://schemas.openxmlformats.org/officeDocument/2006/relationships/worksheet" Target="/xl/worksheets/sheet3.xml" Id="Rc10bc933a7e149aa" /><Relationship Type="http://schemas.openxmlformats.org/officeDocument/2006/relationships/worksheet" Target="/xl/worksheets/sheet4.xml" Id="R163ee4ffbee94053" /><Relationship Type="http://schemas.openxmlformats.org/officeDocument/2006/relationships/worksheet" Target="/xl/worksheets/sheet5.xml" Id="Rb0adb89e26b24bcb" /><Relationship Type="http://schemas.openxmlformats.org/officeDocument/2006/relationships/worksheet" Target="/xl/worksheets/sheet6.xml" Id="Rb5b5cff3236340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1f64523c9b4a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U.S. serving capacity reaches the threshold in 2027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1f64523c9b4a2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ObservationsTable" displayName="USComputeObservationsTable" ref="A5:G16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Operational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URL / path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c746c677bb49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bc03cc0a0f043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b7c688171d1342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d5467c917f341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8" t="str">
        <x:v>SUPPLY CROSSING</x:v>
      </x:c>
      <x:c r="K5" s="48" t="str">
        <x:v>SUPPLY CROSSING</x:v>
      </x:c>
      <x:c r="L5" s="48" t="str">
        <x:v>SUPPLY CROSSING</x:v>
      </x:c>
      <x:c r="M5" s="9" t="str">
        <x:v>LETTER</x:v>
      </x:c>
      <x:c r="N5" s="9" t="str">
        <x:v>LETTER</x:v>
      </x:c>
    </x:row>
    <x:row r="6">
      <x:c r="A6" s="54" t="n">
        <x:f>'Quarterly Model'!J16</x:f>
        <x:v>0.37587725229616675</x:v>
      </x:c>
      <x:c r="D6" s="55" t="n">
        <x:f>'Quarterly Model'!E16</x:f>
        <x:v>13524006</x:v>
      </x:c>
      <x:c r="E6" s="56"/>
      <x:c r="F6" s="56"/>
      <x:c r="G6" s="55" t="n">
        <x:f>'Quarterly Model'!I16</x:f>
        <x:v>64425361.043562986</x:v>
      </x:c>
      <x:c r="J6" s="57" t="n">
        <x:f>'Assumptions'!B32</x:f>
        <x:v>46632.108708204854</x:v>
      </x:c>
      <x:c r="M6" s="53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≥60%</x:v>
      </x:c>
      <x:c r="C13" s="29" t="n">
        <x:v>0.475454716275</x:v>
      </x:c>
      <x:c r="D13" s="20" t="n">
        <x:v>46668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29" t="n">
        <x:f>'Quarterly Model'!J16</x:f>
        <x:v>0.37587725229616675</x:v>
      </x:c>
      <x:c r="D14" s="20" t="n">
        <x:f>'Assumptions'!B32</x:f>
        <x:v>46632.108708204854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46668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0.00682782226716592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0.01320844974682248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0.020071791898291506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0.02814028092242638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0.037555468283042195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0.06633924833009283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0.08726162750476324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0.14706496698305438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0.17513398579018094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0.31194838109141576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0.37587725229616675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0.5038169880198742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0.660890709854224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0.8484310673527545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1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1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1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1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1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1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Current U.S. operational capacity supports about 64 million high-autonomy users under the base serving envelope—37.6% of the 171.4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Quarterly log-capacity growth is smoothed with a rate trend: the slope of observed growth rates supplies acceleration; the fitted current rate supplies velocity.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estimates carry quantity and timing uncertainty; workload tokens, inference allocation, utilization, active parameters, and overhead are editable assumptions rather than observations.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18c746c677bb492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5" t="str">
        <x:v>2026-Q4</x:v>
      </x:c>
      <x:c r="Z4" s="35" t="str">
        <x:v>2026-Q4</x:v>
      </x:c>
      <x:c r="AA4" s="35" t="str">
        <x:v>2027-Q1</x:v>
      </x:c>
      <x:c r="AB4" s="35" t="str">
        <x:v>2027-Q1</x:v>
      </x:c>
      <x:c r="AC4" s="35" t="str">
        <x:v>2027-Q2</x:v>
      </x:c>
      <x:c r="AD4" s="35" t="str">
        <x:v>2027-Q2</x:v>
      </x:c>
      <x:c r="AE4" s="35" t="str">
        <x:v>2027-Q3</x:v>
      </x:c>
      <x:c r="AF4" s="35" t="str">
        <x:v>2027-Q3</x:v>
      </x:c>
      <x:c r="AG4" s="35" t="str">
        <x:v>2027-Q4</x:v>
      </x:c>
      <x:c r="AH4" s="35" t="str">
        <x:v>2027-Q4</x:v>
      </x:c>
      <x:c r="AI4" s="35" t="str">
        <x:v>2028-Q1</x:v>
      </x:c>
      <x:c r="AJ4" s="35" t="str">
        <x:v>2028-Q1</x:v>
      </x:c>
      <x:c r="AK4" s="35" t="str">
        <x:v>2028-Q2</x:v>
      </x:c>
      <x:c r="AL4" s="35" t="str">
        <x:v>2028-Q2</x:v>
      </x:c>
      <x:c r="AM4" s="35" t="str">
        <x:v>2028-Q3</x:v>
      </x:c>
      <x:c r="AN4" s="35" t="str">
        <x:v>2028-Q3</x:v>
      </x:c>
      <x:c r="AO4" s="35" t="str">
        <x:v>2028-Q4</x:v>
      </x:c>
      <x:c r="AP4" s="35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5" t="str">
        <x:v>Score</x:v>
      </x:c>
      <x:c r="Z5" s="35" t="str">
        <x:v>Rate</x:v>
      </x:c>
      <x:c r="AA5" s="35" t="str">
        <x:v>Score</x:v>
      </x:c>
      <x:c r="AB5" s="35" t="str">
        <x:v>Rate</x:v>
      </x:c>
      <x:c r="AC5" s="35" t="str">
        <x:v>Score</x:v>
      </x:c>
      <x:c r="AD5" s="35" t="str">
        <x:v>Rate</x:v>
      </x:c>
      <x:c r="AE5" s="35" t="str">
        <x:v>Score</x:v>
      </x:c>
      <x:c r="AF5" s="35" t="str">
        <x:v>Rate</x:v>
      </x:c>
      <x:c r="AG5" s="35" t="str">
        <x:v>Score</x:v>
      </x:c>
      <x:c r="AH5" s="35" t="str">
        <x:v>Rate</x:v>
      </x:c>
      <x:c r="AI5" s="35" t="str">
        <x:v>Score</x:v>
      </x:c>
      <x:c r="AJ5" s="35" t="str">
        <x:v>Rate</x:v>
      </x:c>
      <x:c r="AK5" s="35" t="str">
        <x:v>Score</x:v>
      </x:c>
      <x:c r="AL5" s="35" t="str">
        <x:v>Rate</x:v>
      </x:c>
      <x:c r="AM5" s="35" t="str">
        <x:v>Score</x:v>
      </x:c>
      <x:c r="AN5" s="35" t="str">
        <x:v>Rate</x:v>
      </x:c>
      <x:c r="AO5" s="35" t="str">
        <x:v>Score</x:v>
      </x:c>
      <x:c r="AP5" s="35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Velocity</x:v>
      </x:c>
      <x:c r="AV5" s="13" t="str">
        <x:v>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5" t="n">
        <x:f>'Quarterly Model'!J6</x:f>
        <x:v>0.00682782226716592</x:v>
      </x:c>
      <x:c r="D6" s="45" t="str">
        <x:f>'Quarterly Model'!K6</x:f>
      </x:c>
      <x:c r="E6" s="45" t="n">
        <x:f>'Quarterly Model'!J7</x:f>
        <x:v>0.01320844974682248</x:v>
      </x:c>
      <x:c r="F6" s="45" t="n">
        <x:f>'Quarterly Model'!K7</x:f>
        <x:v>0.006380627479656559</x:v>
      </x:c>
      <x:c r="G6" s="45" t="n">
        <x:f>'Quarterly Model'!J8</x:f>
        <x:v>0.020071791898291506</x:v>
      </x:c>
      <x:c r="H6" s="45" t="n">
        <x:f>'Quarterly Model'!K8</x:f>
        <x:v>0.006863342151469026</x:v>
      </x:c>
      <x:c r="I6" s="45" t="n">
        <x:f>'Quarterly Model'!J9</x:f>
        <x:v>0.02814028092242638</x:v>
      </x:c>
      <x:c r="J6" s="45" t="n">
        <x:f>'Quarterly Model'!K9</x:f>
        <x:v>0.008068489024134873</x:v>
      </x:c>
      <x:c r="K6" s="45" t="n">
        <x:f>'Quarterly Model'!J10</x:f>
        <x:v>0.037555468283042195</x:v>
      </x:c>
      <x:c r="L6" s="45" t="n">
        <x:f>'Quarterly Model'!K10</x:f>
        <x:v>0.009415187360615817</x:v>
      </x:c>
      <x:c r="M6" s="45" t="n">
        <x:f>'Quarterly Model'!J11</x:f>
        <x:v>0.06633924833009283</x:v>
      </x:c>
      <x:c r="N6" s="45" t="n">
        <x:f>'Quarterly Model'!K11</x:f>
        <x:v>0.028783780047050636</x:v>
      </x:c>
      <x:c r="O6" s="45" t="n">
        <x:f>'Quarterly Model'!J12</x:f>
        <x:v>0.08726162750476324</x:v>
      </x:c>
      <x:c r="P6" s="45" t="n">
        <x:f>'Quarterly Model'!K12</x:f>
        <x:v>0.020922379174670408</x:v>
      </x:c>
      <x:c r="Q6" s="45" t="n">
        <x:f>'Quarterly Model'!J13</x:f>
        <x:v>0.14706496698305438</x:v>
      </x:c>
      <x:c r="R6" s="45" t="n">
        <x:f>'Quarterly Model'!K13</x:f>
        <x:v>0.05980333947829114</x:v>
      </x:c>
      <x:c r="S6" s="45" t="n">
        <x:f>'Quarterly Model'!J14</x:f>
        <x:v>0.17513398579018094</x:v>
      </x:c>
      <x:c r="T6" s="45" t="n">
        <x:f>'Quarterly Model'!K14</x:f>
        <x:v>0.02806901880712656</x:v>
      </x:c>
      <x:c r="U6" s="45" t="n">
        <x:f>'Quarterly Model'!J15</x:f>
        <x:v>0.31194838109141576</x:v>
      </x:c>
      <x:c r="V6" s="45" t="n">
        <x:f>'Quarterly Model'!K15</x:f>
        <x:v>0.13681439530123482</x:v>
      </x:c>
      <x:c r="W6" s="45" t="n">
        <x:f>'Quarterly Model'!J16</x:f>
        <x:v>0.37587725229616675</x:v>
      </x:c>
      <x:c r="X6" s="45" t="n">
        <x:f>'Quarterly Model'!K16</x:f>
        <x:v>0.06392887120475099</x:v>
      </x:c>
      <x:c r="Y6" s="33" t="n">
        <x:f>'Quarterly Model'!J17</x:f>
        <x:v>0.5038169880198742</x:v>
      </x:c>
      <x:c r="Z6" s="33" t="n">
        <x:f>'Quarterly Model'!K17</x:f>
        <x:v>0.12793973572370743</x:v>
      </x:c>
      <x:c r="AA6" s="33" t="n">
        <x:f>'Quarterly Model'!J18</x:f>
        <x:v>0.660890709854224</x:v>
      </x:c>
      <x:c r="AB6" s="33" t="n">
        <x:f>'Quarterly Model'!K18</x:f>
        <x:v>0.15707372183434987</x:v>
      </x:c>
      <x:c r="AC6" s="33" t="n">
        <x:f>'Quarterly Model'!J19</x:f>
        <x:v>0.8484310673527545</x:v>
      </x:c>
      <x:c r="AD6" s="33" t="n">
        <x:f>'Quarterly Model'!K19</x:f>
        <x:v>0.18754035749853049</x:v>
      </x:c>
      <x:c r="AE6" s="33" t="n">
        <x:f>'Quarterly Model'!J20</x:f>
        <x:v>1</x:v>
      </x:c>
      <x:c r="AF6" s="33" t="n">
        <x:f>'Quarterly Model'!K20</x:f>
        <x:v>0.15156893264724547</x:v>
      </x:c>
      <x:c r="AG6" s="33" t="n">
        <x:f>'Quarterly Model'!J21</x:f>
        <x:v>1</x:v>
      </x:c>
      <x:c r="AH6" s="33" t="n">
        <x:f>'Quarterly Model'!K21</x:f>
        <x:v>0</x:v>
      </x:c>
      <x:c r="AI6" s="33" t="n">
        <x:f>'Quarterly Model'!J22</x:f>
        <x:v>1</x:v>
      </x:c>
      <x:c r="AJ6" s="33" t="n">
        <x:f>'Quarterly Model'!K22</x:f>
        <x:v>0</x:v>
      </x:c>
      <x:c r="AK6" s="33" t="n">
        <x:f>'Quarterly Model'!J23</x:f>
        <x:v>1</x:v>
      </x:c>
      <x:c r="AL6" s="33" t="n">
        <x:f>'Quarterly Model'!K23</x:f>
        <x:v>0</x:v>
      </x:c>
      <x:c r="AM6" s="33" t="n">
        <x:f>'Quarterly Model'!J24</x:f>
        <x:v>1</x:v>
      </x:c>
      <x:c r="AN6" s="33" t="n">
        <x:f>'Quarterly Model'!K24</x:f>
        <x:v>0</x:v>
      </x:c>
      <x:c r="AO6" s="33" t="n">
        <x:f>'Quarterly Model'!J25</x:f>
        <x:v>1</x:v>
      </x:c>
      <x:c r="AP6" s="33" t="n">
        <x:f>'Quarterly Model'!K25</x:f>
        <x:v>0</x:v>
      </x:c>
      <x:c r="AQ6" s="29" t="n">
        <x:f>'Quarterly Model'!J16</x:f>
        <x:v>0.37587725229616675</x:v>
      </x:c>
      <x:c r="AR6" s="29" t="str">
        <x:f>'Quarterly Model'!L16</x:f>
        <x:v>F</x:v>
      </x:c>
      <x:c r="AS6" s="22" t="n">
        <x:f>'Quarterly Model'!M16</x:f>
        <x:v>0</x:v>
      </x:c>
      <x:c r="AT6" s="20" t="n">
        <x:f>'Assumptions'!B32</x:f>
        <x:v>46632.108708204854</x:v>
      </x:c>
      <x:c r="AU6" s="27" t="n">
        <x:f>'Assumptions'!B30</x:f>
        <x:v>0.4382012678196282</x:v>
      </x:c>
      <x:c r="AV6" s="27" t="n">
        <x:f>'Assumptions'!B28</x:f>
        <x:v>-0.03112621365907439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extrapolate the smoothed quarterly log-growth velocity and acceleration. Score is supported users ÷ 50% U.S. population, capped at 100%.</x:v>
      </x:c>
      <x:c r="B3" s="6" t="str">
        <x:v>Observed capacity through 2026-Q3; later quarters extrapolate the smoothed quarterly log-growth velocity and acceleration. Score is supported users ÷ 50% U.S. population, capped at 100%.</x:v>
      </x:c>
      <x:c r="C3" s="6" t="str">
        <x:v>Observed capacity through 2026-Q3; later quarters extrapolate the smoothed quarterly log-growth velocity and acceleration. Score is supported users ÷ 50% U.S. population, capped at 100%.</x:v>
      </x:c>
      <x:c r="D3" s="6" t="str">
        <x:v>Observed capacity through 2026-Q3; later quarters extrapolate the smoothed quarterly log-growth velocity and acceleration. Score is supported users ÷ 50% U.S. population, capped at 100%.</x:v>
      </x:c>
      <x:c r="E3" s="6" t="str">
        <x:v>Observed capacity through 2026-Q3; later quarters extrapolate the smoothed quarterly log-growth velocity and acceleration. Score is supported users ÷ 50% U.S. population, capped at 100%.</x:v>
      </x:c>
      <x:c r="F3" s="6" t="str">
        <x:v>Observed capacity through 2026-Q3; later quarters extrapolate the smoothed quarterly log-growth velocity and acceleration. Score is supported users ÷ 50% U.S. population, capped at 100%.</x:v>
      </x:c>
      <x:c r="G3" s="6" t="str">
        <x:v>Observed capacity through 2026-Q3; later quarters extrapolate the smoothed quarterly log-growth velocity and acceleration. Score is supported users ÷ 50% U.S. population, capped at 100%.</x:v>
      </x:c>
      <x:c r="H3" s="6" t="str">
        <x:v>Observed capacity through 2026-Q3; later quarters extrapolate the smoothed quarterly log-growth velocity and acceleration. Score is supported users ÷ 50% U.S. population, capped at 100%.</x:v>
      </x:c>
      <x:c r="I3" s="6" t="str">
        <x:v>Observed capacity through 2026-Q3; later quarters extrapolate the smoothed quarterly log-growth velocity and acceleration. Score is supported users ÷ 50% U.S. population, capped at 100%.</x:v>
      </x:c>
      <x:c r="J3" s="6" t="str">
        <x:v>Observed capacity through 2026-Q3; later quarters extrapolate the smoothed quarterly log-growth velocity and acceleration. Score is supported users ÷ 50% U.S. population, capped at 100%.</x:v>
      </x:c>
      <x:c r="K3" s="6" t="str">
        <x:v>Observed capacity through 2026-Q3; later quarters extrapolate the smoothed quarterly log-growth velocity and acceleration. Score is supported users ÷ 50% U.S. population, capped at 100%.</x:v>
      </x:c>
      <x:c r="L3" s="6" t="str">
        <x:v>Observed capacity through 2026-Q3; later quarters extrapolate the smoothed quarterly log-growth velocity and acceleration. Score is supported users ÷ 50% U.S. population, capped at 100%.</x:v>
      </x:c>
      <x:c r="M3" s="6" t="str">
        <x:v>Observed capacity through 2026-Q3; later quarters extrapolate the smoothed quarterly log-growth velocity and acceleration.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SUMIFS('Observations'!$D$6:$D$16,'Observations'!$A$6:$A$16,A6)</x:f>
        <x:v>245664</x:v>
      </x:c>
      <x:c r="F6" s="27" t="n">
        <x:f>LN(E6)/LN(2)</x:f>
        <x:v>17.906326932760603</x:v>
      </x:c>
      <x:c r="G6" s="27" t="str">
        <x:f>""</x:f>
      </x:c>
      <x:c r="H6" s="28" t="n">
        <x:f>E6*'Assumptions'!$B$24</x:f>
        <x:v>19602336337920</x:v>
      </x:c>
      <x:c r="I6" s="18" t="n">
        <x:f>H6/'Assumptions'!$I$11</x:f>
        <x:v>1170288.7365922388</x:v>
      </x:c>
      <x:c r="J6" s="29" t="n">
        <x:f>MIN(1,I6/'Assumptions'!$B$9)</x:f>
        <x:v>0.00682782226716592</x:v>
      </x:c>
      <x:c r="K6" s="29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SUMIFS('Observations'!$D$6:$D$16,'Observations'!$A$6:$A$16,A7)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28" t="n">
        <x:f>E7*'Assumptions'!$B$24</x:f>
        <x:v>37920798800640</x:v>
      </x:c>
      <x:c r="I7" s="18" t="n">
        <x:f>H7/'Assumptions'!$I$11</x:f>
        <x:v>2263928.286605373</x:v>
      </x:c>
      <x:c r="J7" s="29" t="n">
        <x:f>MIN(1,I7/'Assumptions'!$B$9)</x:f>
        <x:v>0.01320844974682248</x:v>
      </x:c>
      <x:c r="K7" s="29" t="n">
        <x:f>J7-J6</x:f>
        <x:v>0.006380627479656559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SUMIFS('Observations'!$D$6:$D$16,'Observations'!$A$6:$A$16,A8)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28" t="n">
        <x:f>E8*'Assumptions'!$B$24</x:f>
        <x:v>57625110950400</x:v>
      </x:c>
      <x:c r="I8" s="18" t="n">
        <x:f>H8/'Assumptions'!$I$11</x:f>
        <x:v>3440305.131367164</x:v>
      </x:c>
      <x:c r="J8" s="29" t="n">
        <x:f>MIN(1,I8/'Assumptions'!$B$9)</x:f>
        <x:v>0.020071791898291506</x:v>
      </x:c>
      <x:c r="K8" s="29" t="n">
        <x:f>J8-J7</x:f>
        <x:v>0.006863342151469026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SUMIFS('Observations'!$D$6:$D$16,'Observations'!$A$6:$A$16,A9)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28" t="n">
        <x:f>E9*'Assumptions'!$B$24</x:f>
        <x:v>80789339514240</x:v>
      </x:c>
      <x:c r="I9" s="18" t="n">
        <x:f>H9/'Assumptions'!$I$11</x:f>
        <x:v>4823244.150103881</x:v>
      </x:c>
      <x:c r="J9" s="29" t="n">
        <x:f>MIN(1,I9/'Assumptions'!$B$9)</x:f>
        <x:v>0.02814028092242638</x:v>
      </x:c>
      <x:c r="K9" s="29" t="n">
        <x:f>J9-J8</x:f>
        <x:v>0.008068489024134873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SUMIFS('Observations'!$D$6:$D$16,'Observations'!$A$6:$A$16,A10)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28" t="n">
        <x:f>E10*'Assumptions'!$B$24</x:f>
        <x:v>107819871667200</x:v>
      </x:c>
      <x:c r="I10" s="18" t="n">
        <x:f>H10/'Assumptions'!$I$11</x:f>
        <x:v>6437007.2637134325</x:v>
      </x:c>
      <x:c r="J10" s="29" t="n">
        <x:f>MIN(1,I10/'Assumptions'!$B$9)</x:f>
        <x:v>0.037555468283042195</x:v>
      </x:c>
      <x:c r="K10" s="29" t="n">
        <x:f>J10-J9</x:f>
        <x:v>0.009415187360615817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SUMIFS('Observations'!$D$6:$D$16,'Observations'!$A$6:$A$16,A11)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28" t="n">
        <x:f>E11*'Assumptions'!$B$24</x:f>
        <x:v>190456664993280</x:v>
      </x:c>
      <x:c r="I11" s="18" t="n">
        <x:f>H11/'Assumptions'!$I$11</x:f>
        <x:v>11370547.16377791</x:v>
      </x:c>
      <x:c r="J11" s="29" t="n">
        <x:f>MIN(1,I11/'Assumptions'!$B$9)</x:f>
        <x:v>0.06633924833009283</x:v>
      </x:c>
      <x:c r="K11" s="29" t="n">
        <x:f>J11-J10</x:f>
        <x:v>0.028783780047050636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SUMIFS('Observations'!$D$6:$D$16,'Observations'!$A$6:$A$16,A12)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28" t="n">
        <x:f>E12*'Assumptions'!$B$24</x:f>
        <x:v>250523769484800</x:v>
      </x:c>
      <x:c r="I12" s="18" t="n">
        <x:f>H12/'Assumptions'!$I$11</x:f>
        <x:v>14956642.954316419</x:v>
      </x:c>
      <x:c r="J12" s="29" t="n">
        <x:f>MIN(1,I12/'Assumptions'!$B$9)</x:f>
        <x:v>0.08726162750476324</x:v>
      </x:c>
      <x:c r="K12" s="29" t="n">
        <x:f>J12-J11</x:f>
        <x:v>0.020922379174670408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SUMIFS('Observations'!$D$6:$D$16,'Observations'!$A$6:$A$16,A13)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28" t="n">
        <x:f>E13*'Assumptions'!$B$24</x:f>
        <x:v>422216166960000</x:v>
      </x:c>
      <x:c r="I13" s="18" t="n">
        <x:f>H13/'Assumptions'!$I$11</x:f>
        <x:v>25206935.340895522</x:v>
      </x:c>
      <x:c r="J13" s="29" t="n">
        <x:f>MIN(1,I13/'Assumptions'!$B$9)</x:f>
        <x:v>0.14706496698305438</x:v>
      </x:c>
      <x:c r="K13" s="29" t="n">
        <x:f>J13-J12</x:f>
        <x:v>0.05980333947829114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SUMIFS('Observations'!$D$6:$D$16,'Observations'!$A$6:$A$16,A14)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28" t="n">
        <x:f>E14*'Assumptions'!$B$24</x:f>
        <x:v>502800916504320</x:v>
      </x:c>
      <x:c r="I14" s="18" t="n">
        <x:f>H14/'Assumptions'!$I$11</x:f>
        <x:v>30017965.164437015</x:v>
      </x:c>
      <x:c r="J14" s="29" t="n">
        <x:f>MIN(1,I14/'Assumptions'!$B$9)</x:f>
        <x:v>0.17513398579018094</x:v>
      </x:c>
      <x:c r="K14" s="29" t="n">
        <x:f>J14-J13</x:f>
        <x:v>0.02806901880712656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SUMIFS('Observations'!$D$6:$D$16,'Observations'!$A$6:$A$16,A15)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28" t="n">
        <x:f>E15*'Assumptions'!$B$24</x:f>
        <x:v>895588204694400</x:v>
      </x:c>
      <x:c r="I15" s="18" t="n">
        <x:f>H15/'Assumptions'!$I$11</x:f>
        <x:v>53467952.51906866</x:v>
      </x:c>
      <x:c r="J15" s="29" t="n">
        <x:f>MIN(1,I15/'Assumptions'!$B$9)</x:f>
        <x:v>0.31194838109141576</x:v>
      </x:c>
      <x:c r="K15" s="29" t="n">
        <x:f>J15-J14</x:f>
        <x:v>0.13681439530123482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SUMIFS('Observations'!$D$6:$D$16,'Observations'!$A$6:$A$16,A16)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28" t="n">
        <x:f>E16*'Assumptions'!$B$24</x:f>
        <x:v>1079124797479680</x:v>
      </x:c>
      <x:c r="I16" s="18" t="n">
        <x:f>H16/'Assumptions'!$I$11</x:f>
        <x:v>64425361.043562986</x:v>
      </x:c>
      <x:c r="J16" s="29" t="n">
        <x:f>MIN(1,I16/'Assumptions'!$B$9)</x:f>
        <x:v>0.37587725229616675</x:v>
      </x:c>
      <x:c r="K16" s="29" t="n">
        <x:f>J16-J15</x:f>
        <x:v>0.06392887120475099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30" t="n">
        <x:f>POWER(2,MAX($F$16,$F$16+'Assumptions'!$B$30*(A17-'Assumptions'!$B$10)+0.5*'Assumptions'!$B$28*POWER(A17-'Assumptions'!$B$10,2)))</x:f>
        <x:v>18127258.106893934</x:v>
      </x:c>
      <x:c r="F17" s="31" t="n">
        <x:f>LN(E17)/LN(2)</x:f>
        <x:v>24.11165738660533</x:v>
      </x:c>
      <x:c r="G17" s="31" t="n">
        <x:f>F17-F16</x:f>
        <x:v>0.4226381609900969</x:v>
      </x:c>
      <x:c r="H17" s="32" t="n">
        <x:f>E17*'Assumptions'!$B$24</x:f>
        <x:v>1446433381755657.8</x:v>
      </x:c>
      <x:c r="I17" s="30" t="n">
        <x:f>H17/'Assumptions'!$I$11</x:f>
        <x:v>86354231.74660644</x:v>
      </x:c>
      <x:c r="J17" s="33" t="n">
        <x:f>MIN(1,I17/'Assumptions'!$B$9)</x:f>
        <x:v>0.5038169880198742</x:v>
      </x:c>
      <x:c r="K17" s="33" t="n">
        <x:f>J17-J16</x:f>
        <x:v>0.12793973572370743</x:v>
      </x:c>
      <x:c r="L17" s="23" t="str">
        <x:f>IF(J17&gt;='Assumptions'!$G$16,"A",IF(J17&gt;='Assumptions'!$G$17,"B",IF(J17&gt;='Assumptions'!$G$18,"C",IF(J17&gt;='Assumptions'!$G$19,"D","F"))))</x:f>
        <x:v>F</x:v>
      </x:c>
      <x:c r="M17" s="34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30" t="n">
        <x:f>POWER(2,MAX($F$16,$F$16+'Assumptions'!$B$30*(A18-'Assumptions'!$B$10)+0.5*'Assumptions'!$B$28*POWER(A18-'Assumptions'!$B$10,2)))</x:f>
        <x:v>23778746.574347917</x:v>
      </x:c>
      <x:c r="F18" s="31" t="n">
        <x:f>LN(E18)/LN(2)</x:f>
        <x:v>24.50316933393634</x:v>
      </x:c>
      <x:c r="G18" s="31" t="n">
        <x:f>F18-F17</x:f>
        <x:v>0.39151194733101136</x:v>
      </x:c>
      <x:c r="H18" s="32" t="n">
        <x:f>E18*'Assumptions'!$B$24</x:f>
        <x:v>1897384183455984.2</x:v>
      </x:c>
      <x:c r="I18" s="30" t="n">
        <x:f>H18/'Assumptions'!$I$11</x:f>
        <x:v>113276667.66901399</x:v>
      </x:c>
      <x:c r="J18" s="33" t="n">
        <x:f>MIN(1,I18/'Assumptions'!$B$9)</x:f>
        <x:v>0.660890709854224</x:v>
      </x:c>
      <x:c r="K18" s="33" t="n">
        <x:f>J18-J17</x:f>
        <x:v>0.15707372183434987</x:v>
      </x:c>
      <x:c r="L18" s="23" t="str">
        <x:f>IF(J18&gt;='Assumptions'!$G$16,"A",IF(J18&gt;='Assumptions'!$G$17,"B",IF(J18&gt;='Assumptions'!$G$18,"C",IF(J18&gt;='Assumptions'!$G$19,"D","F"))))</x:f>
        <x:v>D</x:v>
      </x:c>
      <x:c r="M18" s="34" t="n">
        <x:f>IF(J18&gt;='Assumptions'!$G$16,'Assumptions'!$H$16,IF(J18&gt;='Assumptions'!$G$17,'Assumptions'!$H$17,IF(J18&gt;='Assumptions'!$G$18,'Assumptions'!$H$18,IF(J18&gt;='Assumptions'!$G$19,'Assumptions'!$H$19,'Assumptions'!$H$20))))</x:f>
        <x:v>1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30" t="n">
        <x:f>POWER(2,MAX($F$16,$F$16+'Assumptions'!$B$30*(A19-'Assumptions'!$B$10)+0.5*'Assumptions'!$B$28*POWER(A19-'Assumptions'!$B$10,2)))</x:f>
        <x:v>30526419.9293022</x:v>
      </x:c>
      <x:c r="F19" s="31" t="n">
        <x:f>LN(E19)/LN(2)</x:f>
        <x:v>24.86355506760828</x:v>
      </x:c>
      <x:c r="G19" s="31" t="n">
        <x:f>F19-F18</x:f>
        <x:v>0.36038573367194005</x:v>
      </x:c>
      <x:c r="H19" s="32" t="n">
        <x:f>E19*'Assumptions'!$B$24</x:f>
        <x:v>2435803172816390.5</x:v>
      </x:c>
      <x:c r="I19" s="30" t="n">
        <x:f>H19/'Assumptions'!$I$11</x:f>
        <x:v>145421084.94426212</x:v>
      </x:c>
      <x:c r="J19" s="33" t="n">
        <x:f>MIN(1,I19/'Assumptions'!$B$9)</x:f>
        <x:v>0.8484310673527545</x:v>
      </x:c>
      <x:c r="K19" s="33" t="n">
        <x:f>J19-J18</x:f>
        <x:v>0.18754035749853049</x:v>
      </x:c>
      <x:c r="L19" s="23" t="str">
        <x:f>IF(J19&gt;='Assumptions'!$G$16,"A",IF(J19&gt;='Assumptions'!$G$17,"B",IF(J19&gt;='Assumptions'!$G$18,"C",IF(J19&gt;='Assumptions'!$G$19,"D","F"))))</x:f>
        <x:v>B</x:v>
      </x:c>
      <x:c r="M19" s="34" t="n">
        <x:f>IF(J19&gt;='Assumptions'!$G$16,'Assumptions'!$H$16,IF(J19&gt;='Assumptions'!$G$17,'Assumptions'!$H$17,IF(J19&gt;='Assumptions'!$G$18,'Assumptions'!$H$18,IF(J19&gt;='Assumptions'!$G$19,'Assumptions'!$H$19,'Assumptions'!$H$20))))</x:f>
        <x:v>3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30" t="n">
        <x:f>POWER(2,MAX($F$16,$F$16+'Assumptions'!$B$30*(A20-'Assumptions'!$B$10)+0.5*'Assumptions'!$B$28*POWER(A20-'Assumptions'!$B$10,2)))</x:f>
        <x:v>38352428.24553096</x:v>
      </x:c>
      <x:c r="F20" s="31" t="n">
        <x:f>LN(E20)/LN(2)</x:f>
        <x:v>25.19281458762115</x:v>
      </x:c>
      <x:c r="G20" s="31" t="n">
        <x:f>F20-F19</x:f>
        <x:v>0.32925952001286873</x:v>
      </x:c>
      <x:c r="H20" s="32" t="n">
        <x:f>E20*'Assumptions'!$B$24</x:f>
        <x:v>3060266045675561</x:v>
      </x:c>
      <x:c r="I20" s="30" t="n">
        <x:f>H20/'Assumptions'!$I$11</x:f>
        <x:v>182702450.4880932</x:v>
      </x:c>
      <x:c r="J20" s="33" t="n">
        <x:f>MIN(1,I20/'Assumptions'!$B$9)</x:f>
        <x:v>1</x:v>
      </x:c>
      <x:c r="K20" s="33" t="n">
        <x:f>J20-J19</x:f>
        <x:v>0.15156893264724547</x:v>
      </x:c>
      <x:c r="L20" s="23" t="str">
        <x:f>IF(J20&gt;='Assumptions'!$G$16,"A",IF(J20&gt;='Assumptions'!$G$17,"B",IF(J20&gt;='Assumptions'!$G$18,"C",IF(J20&gt;='Assumptions'!$G$19,"D","F"))))</x:f>
        <x:v>A</x:v>
      </x:c>
      <x:c r="M20" s="34" t="n">
        <x:f>IF(J20&gt;='Assumptions'!$G$16,'Assumptions'!$H$16,IF(J20&gt;='Assumptions'!$G$17,'Assumptions'!$H$17,IF(J20&gt;='Assumptions'!$G$18,'Assumptions'!$H$18,IF(J20&gt;='Assumptions'!$G$19,'Assumptions'!$H$19,'Assumptions'!$H$20))))</x:f>
        <x:v>4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30" t="n">
        <x:f>POWER(2,MAX($F$16,$F$16+'Assumptions'!$B$30*(A21-'Assumptions'!$B$10)+0.5*'Assumptions'!$B$28*POWER(A21-'Assumptions'!$B$10,2)))</x:f>
        <x:v>47156323.02513182</x:v>
      </x:c>
      <x:c r="F21" s="31" t="n">
        <x:f>LN(E21)/LN(2)</x:f>
        <x:v>25.490947893974944</x:v>
      </x:c>
      <x:c r="G21" s="31" t="n">
        <x:f>F21-F20</x:f>
        <x:v>0.29813330635379387</x:v>
      </x:c>
      <x:c r="H21" s="32" t="n">
        <x:f>E21*'Assumptions'!$B$24</x:f>
        <x:v>3762757686914790.5</x:v>
      </x:c>
      <x:c r="I21" s="30" t="n">
        <x:f>H21/'Assumptions'!$I$11</x:f>
        <x:v>224642249.9650621</x:v>
      </x:c>
      <x:c r="J21" s="33" t="n">
        <x:f>MIN(1,I21/'Assumptions'!$B$9)</x:f>
        <x:v>1</x:v>
      </x:c>
      <x:c r="K21" s="33" t="n">
        <x:f>J21-J20</x:f>
        <x:v>0</x:v>
      </x:c>
      <x:c r="L21" s="23" t="str">
        <x:f>IF(J21&gt;='Assumptions'!$G$16,"A",IF(J21&gt;='Assumptions'!$G$17,"B",IF(J21&gt;='Assumptions'!$G$18,"C",IF(J21&gt;='Assumptions'!$G$19,"D","F"))))</x:f>
        <x:v>A</x:v>
      </x:c>
      <x:c r="M21" s="34" t="n">
        <x:f>IF(J21&gt;='Assumptions'!$G$16,'Assumptions'!$H$16,IF(J21&gt;='Assumptions'!$G$17,'Assumptions'!$H$17,IF(J21&gt;='Assumptions'!$G$18,'Assumptions'!$H$18,IF(J21&gt;='Assumptions'!$G$19,'Assumptions'!$H$19,'Assumptions'!$H$20))))</x:f>
        <x:v>4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30" t="n">
        <x:f>POWER(2,MAX($F$16,$F$16+'Assumptions'!$B$30*(A22-'Assumptions'!$B$10)+0.5*'Assumptions'!$B$28*POWER(A22-'Assumptions'!$B$10,2)))</x:f>
        <x:v>56743625.158091314</x:v>
      </x:c>
      <x:c r="F22" s="31" t="n">
        <x:f>LN(E22)/LN(2)</x:f>
        <x:v>25.757954986669667</x:v>
      </x:c>
      <x:c r="G22" s="31" t="n">
        <x:f>F22-F21</x:f>
        <x:v>0.26700709269472256</x:v>
      </x:c>
      <x:c r="H22" s="32" t="n">
        <x:f>E22*'Assumptions'!$B$24</x:f>
        <x:v>4527759970454624</x:v>
      </x:c>
      <x:c r="I22" s="30" t="n">
        <x:f>H22/'Assumptions'!$I$11</x:f>
        <x:v>270314028.08684325</x:v>
      </x:c>
      <x:c r="J22" s="33" t="n">
        <x:f>MIN(1,I22/'Assumptions'!$B$9)</x:f>
        <x:v>1</x:v>
      </x:c>
      <x:c r="K22" s="33" t="n">
        <x:f>J22-J21</x:f>
        <x:v>0</x:v>
      </x:c>
      <x:c r="L22" s="23" t="str">
        <x:f>IF(J22&gt;='Assumptions'!$G$16,"A",IF(J22&gt;='Assumptions'!$G$17,"B",IF(J22&gt;='Assumptions'!$G$18,"C",IF(J22&gt;='Assumptions'!$G$19,"D","F"))))</x:f>
        <x:v>A</x:v>
      </x:c>
      <x:c r="M22" s="34" t="n">
        <x:f>IF(J22&gt;='Assumptions'!$G$16,'Assumptions'!$H$16,IF(J22&gt;='Assumptions'!$G$17,'Assumptions'!$H$17,IF(J22&gt;='Assumptions'!$G$18,'Assumptions'!$H$18,IF(J22&gt;='Assumptions'!$G$19,'Assumptions'!$H$19,'Assumptions'!$H$20))))</x:f>
        <x:v>4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30" t="n">
        <x:f>POWER(2,MAX($F$16,$F$16+'Assumptions'!$B$30*(A23-'Assumptions'!$B$10)+0.5*'Assumptions'!$B$28*POWER(A23-'Assumptions'!$B$10,2)))</x:f>
        <x:v>66822742.84080343</x:v>
      </x:c>
      <x:c r="F23" s="31" t="n">
        <x:f>LN(E23)/LN(2)</x:f>
        <x:v>25.993835865705307</x:v>
      </x:c>
      <x:c r="G23" s="31" t="n">
        <x:f>F23-F22</x:f>
        <x:v>0.2358808790356406</x:v>
      </x:c>
      <x:c r="H23" s="32" t="n">
        <x:f>E23*'Assumptions'!$B$24</x:f>
        <x:v>5332005829864223</x:v>
      </x:c>
      <x:c r="I23" s="30" t="n">
        <x:f>H23/'Assumptions'!$I$11</x:f>
        <x:v>318328706.2605506</x:v>
      </x:c>
      <x:c r="J23" s="33" t="n">
        <x:f>MIN(1,I23/'Assumptions'!$B$9)</x:f>
        <x:v>1</x:v>
      </x:c>
      <x:c r="K23" s="33" t="n">
        <x:f>J23-J22</x:f>
        <x:v>0</x:v>
      </x:c>
      <x:c r="L23" s="23" t="str">
        <x:f>IF(J23&gt;='Assumptions'!$G$16,"A",IF(J23&gt;='Assumptions'!$G$17,"B",IF(J23&gt;='Assumptions'!$G$18,"C",IF(J23&gt;='Assumptions'!$G$19,"D","F"))))</x:f>
        <x:v>A</x:v>
      </x:c>
      <x:c r="M23" s="34" t="n">
        <x:f>IF(J23&gt;='Assumptions'!$G$16,'Assumptions'!$H$16,IF(J23&gt;='Assumptions'!$G$17,'Assumptions'!$H$17,IF(J23&gt;='Assumptions'!$G$18,'Assumptions'!$H$18,IF(J23&gt;='Assumptions'!$G$19,'Assumptions'!$H$19,'Assumptions'!$H$20))))</x:f>
        <x:v>4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30" t="n">
        <x:f>POWER(2,MAX($F$16,$F$16+'Assumptions'!$B$30*(A24-'Assumptions'!$B$10)+0.5*'Assumptions'!$B$28*POWER(A24-'Assumptions'!$B$10,2)))</x:f>
        <x:v>77012565.99657708</x:v>
      </x:c>
      <x:c r="F24" s="31" t="n">
        <x:f>LN(E24)/LN(2)</x:f>
        <x:v>26.198590531081877</x:v>
      </x:c>
      <x:c r="G24" s="31" t="n">
        <x:f>F24-F23</x:f>
        <x:v>0.20475466537656928</x:v>
      </x:c>
      <x:c r="H24" s="32" t="n">
        <x:f>E24*'Assumptions'!$B$24</x:f>
        <x:v>6145085242083354</x:v>
      </x:c>
      <x:c r="I24" s="30" t="n">
        <x:f>H24/'Assumptions'!$I$11</x:f>
        <x:v>366870760.72139424</x:v>
      </x:c>
      <x:c r="J24" s="33" t="n">
        <x:f>MIN(1,I24/'Assumptions'!$B$9)</x:f>
        <x:v>1</x:v>
      </x:c>
      <x:c r="K24" s="33" t="n">
        <x:f>J24-J23</x:f>
        <x:v>0</x:v>
      </x:c>
      <x:c r="L24" s="23" t="str">
        <x:f>IF(J24&gt;='Assumptions'!$G$16,"A",IF(J24&gt;='Assumptions'!$G$17,"B",IF(J24&gt;='Assumptions'!$G$18,"C",IF(J24&gt;='Assumptions'!$G$19,"D","F"))))</x:f>
        <x:v>A</x:v>
      </x:c>
      <x:c r="M24" s="34" t="n">
        <x:f>IF(J24&gt;='Assumptions'!$G$16,'Assumptions'!$H$16,IF(J24&gt;='Assumptions'!$G$17,'Assumptions'!$H$17,IF(J24&gt;='Assumptions'!$G$18,'Assumptions'!$H$18,IF(J24&gt;='Assumptions'!$G$19,'Assumptions'!$H$19,'Assumptions'!$H$20))))</x:f>
        <x:v>4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30" t="n">
        <x:f>POWER(2,MAX($F$16,$F$16+'Assumptions'!$B$30*(A25-'Assumptions'!$B$10)+0.5*'Assumptions'!$B$28*POWER(A25-'Assumptions'!$B$10,2)))</x:f>
        <x:v>86861828.24555889</x:v>
      </x:c>
      <x:c r="F25" s="31" t="n">
        <x:f>LN(E25)/LN(2)</x:f>
        <x:v>26.372218982799378</x:v>
      </x:c>
      <x:c r="G25" s="31" t="n">
        <x:f>F25-F24</x:f>
        <x:v>0.17362845171750152</x:v>
      </x:c>
      <x:c r="H25" s="32" t="n">
        <x:f>E25*'Assumptions'!$B$24</x:f>
        <x:v>6930990182509789</x:v>
      </x:c>
      <x:c r="I25" s="30" t="n">
        <x:f>H25/'Assumptions'!$I$11</x:f>
        <x:v>413790458.65730083</x:v>
      </x:c>
      <x:c r="J25" s="33" t="n">
        <x:f>MIN(1,I25/'Assumptions'!$B$9)</x:f>
        <x:v>1</x:v>
      </x:c>
      <x:c r="K25" s="33" t="n">
        <x:f>J25-J24</x:f>
        <x:v>0</x:v>
      </x:c>
      <x:c r="L25" s="23" t="str">
        <x:f>IF(J25&gt;='Assumptions'!$G$16,"A",IF(J25&gt;='Assumptions'!$G$17,"B",IF(J25&gt;='Assumptions'!$G$18,"C",IF(J25&gt;='Assumptions'!$G$19,"D","F"))))</x:f>
        <x:v>A</x:v>
      </x:c>
      <x:c r="M25" s="34" t="n">
        <x:f>IF(J25&gt;='Assumptions'!$G$16,'Assumptions'!$H$16,IF(J25&gt;='Assumptions'!$G$17,'Assumptions'!$H$17,IF(J25&gt;='Assumptions'!$G$18,'Assumptions'!$H$18,IF(J25&gt;='Assumptions'!$G$19,'Assumptions'!$H$19,'Assumptions'!$H$20))))</x:f>
        <x:v>4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7bc03cc0a0f043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342800000</x:v>
      </x:c>
      <x:c r="C7" s="17" t="str">
        <x:v>people</x:v>
      </x:c>
      <x:c r="D7" s="17" t="str">
        <x:v>User-specified rounded estimate; Census Population Clock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171400000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B9*I11/B24</x:f>
        <x:v>35979846.92445279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Compute-equivalent tokens / H100e / day</x:v>
      </x:c>
      <x:c r="B24" s="18" t="n">
        <x:f>B16*B17*B18*B19*B23/(B20*B21*B22)</x:f>
        <x:v>79793280</x:v>
      </x:c>
      <x:c r="C24" s="17" t="str">
        <x:v>tokens/day</x:v>
      </x:c>
      <x:c r="D24" s="17" t="str">
        <x:v>Derived serving supply per H100-equivalent</x:v>
      </x:c>
    </x:row>
    <x:row r="25"/>
    <x:row r="26" ht="15" hidden="0" customHeight="1">
      <x:c r="A26" s="9" t="str">
        <x:v>QUARTERLY GROWTH MODEL</x:v>
      </x:c>
      <x:c r="B26" s="9" t="str">
        <x:v>QUARTERLY GROWTH MODEL</x:v>
      </x:c>
      <x:c r="C26" s="9" t="str">
        <x:v>QUARTERLY GROWTH MODEL</x:v>
      </x:c>
      <x:c r="D26" s="9" t="str">
        <x:v>QUARTERLY GROWTH MODEL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Log-capacity acceleration</x:v>
      </x:c>
      <x:c r="B28" s="27" t="n">
        <x:f>SLOPE('Quarterly Model'!$G$7:$G$16,'Quarterly Model'!$A$7:$A$16)</x:f>
        <x:v>-0.03112621365907439</x:v>
      </x:c>
      <x:c r="C28" s="17" t="str">
        <x:v>log2 H100e / quarter²</x:v>
      </x:c>
      <x:c r="D28" s="17" t="str">
        <x:v>Slope of observed quarterly log-growth rates</x:v>
      </x:c>
    </x:row>
    <x:row r="29" ht="15" hidden="0" customHeight="1">
      <x:c r="A29" s="17" t="str">
        <x:v>Growth-rate intercept</x:v>
      </x:c>
      <x:c r="B29" s="27" t="n">
        <x:f>AVERAGE('Quarterly Model'!$G$7:$G$16)-B28*AVERAGE('Quarterly Model'!$A$7:$A$16)</x:f>
        <x:v>0.7805896180694465</x:v>
      </x:c>
      <x:c r="C29" s="17" t="str">
        <x:v>log2 H100e / quarter</x:v>
      </x:c>
      <x:c r="D29" s="17" t="str">
        <x:v>OLS intercept for observed quarterly growth</x:v>
      </x:c>
    </x:row>
    <x:row r="30" ht="15" hidden="0" customHeight="1">
      <x:c r="A30" s="17" t="str">
        <x:v>Current smoothed velocity</x:v>
      </x:c>
      <x:c r="B30" s="27" t="n">
        <x:f>B29+B28*B10</x:f>
        <x:v>0.4382012678196282</x:v>
      </x:c>
      <x:c r="C30" s="17" t="str">
        <x:v>log2 H100e / quarter</x:v>
      </x:c>
      <x:c r="D30" s="17" t="str">
        <x:v>Intercept + acceleration × current quarter</x:v>
      </x:c>
    </x:row>
    <x:row r="31" ht="15" hidden="0" customHeight="1">
      <x:c r="A31" s="17" t="str">
        <x:v>First model row at full supply threshold</x:v>
      </x:c>
      <x:c r="B31" s="17" t="n">
        <x:f>MATCH(1,'Quarterly Model'!$J$6:$J$25,0)</x:f>
        <x:v>15</x:v>
      </x:c>
      <x:c r="C31" s="17" t="str">
        <x:v>position</x:v>
      </x:c>
      <x:c r="D31" s="17" t="str">
        <x:v>First score that reaches 100%</x:v>
      </x:c>
    </x:row>
    <x:row r="32" ht="15" hidden="0" customHeight="1">
      <x:c r="A32" s="17" t="str">
        <x:v>Projected supply crossing</x:v>
      </x:c>
      <x:c r="B32" s="20" t="n">
        <x:f>INDEX('Quarterly Model'!$C$6:$C$25,B31-1)+(B12-INDEX('Quarterly Model'!$E$6:$E$25,B31-1))/(INDEX('Quarterly Model'!$E$6:$E$25,B31)-INDEX('Quarterly Model'!$E$6:$E$25,B31-1))*(INDEX('Quarterly Model'!$C$6:$C$25,B31)-INDEX('Quarterly Model'!$C$6:$C$25,B31-1))</x:f>
        <x:v>46632.108708204854</x:v>
      </x:c>
      <x:c r="C32" s="17" t="str">
        <x:v>date</x:v>
      </x:c>
      <x:c r="D32" s="17" t="str">
        <x:v>Linear interpolation between surrounding capacity points</x:v>
      </x:c>
    </x:row>
    <x:row r="33" ht="15" hidden="0" customHeight="1">
      <x:c r="A33" s="17" t="str">
        <x:v>Capability threshold</x:v>
      </x:c>
      <x:c r="B33" s="19" t="n">
        <x:v>0.6</x:v>
      </x:c>
      <x:c r="C33" s="17" t="str">
        <x:v>%</x:v>
      </x:c>
      <x:c r="D33" s="17" t="str">
        <x:v>First grade above F</x:v>
      </x:c>
    </x:row>
    <x:row r="34" ht="15" hidden="0" customHeight="1">
      <x:c r="A34" s="17" t="str">
        <x:v>Projected capability crossing</x:v>
      </x:c>
      <x:c r="B34" s="20" t="n">
        <x:v>46668</x:v>
      </x:c>
      <x:c r="C34" s="17" t="str">
        <x:v>date</x:v>
      </x:c>
      <x:c r="D34" s="17" t="str">
        <x:v>Interpolated from the capability report card</x:v>
      </x:c>
    </x:row>
    <x:row r="35" ht="15" hidden="0" customHeight="1">
      <x:c r="A35" s="17" t="str">
        <x:v>Countdown target</x:v>
      </x:c>
      <x:c r="B35" s="20" t="n">
        <x:f>MAX(B32,B34)</x:f>
        <x:v>46668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Operational AI-Compute Observations</x:v>
      </x:c>
      <x:c r="B1" s="3" t="str">
        <x:v>U.S. Operational AI-Compute Observations</x:v>
      </x:c>
      <x:c r="C1" s="3" t="str">
        <x:v>U.S. Operational AI-Compute Observations</x:v>
      </x:c>
      <x:c r="D1" s="3" t="str">
        <x:v>U.S. Operational AI-Compute Observations</x:v>
      </x:c>
      <x:c r="E1" s="3" t="str">
        <x:v>U.S. Operational AI-Compute Observations</x:v>
      </x:c>
      <x:c r="F1" s="3" t="str">
        <x:v>U.S. Operational AI-Compute Observations</x:v>
      </x:c>
      <x:c r="G1" s="3" t="str">
        <x:v>U.S. Operational AI-Compute Observations</x:v>
      </x:c>
    </x:row>
    <x:row r="2" ht="28" customHeight="1">
      <x:c r="A2" s="3" t="str">
        <x:v>U.S. Operational AI-Compute Observations</x:v>
      </x:c>
      <x:c r="B2" s="3" t="str">
        <x:v>U.S. Operational AI-Compute Observations</x:v>
      </x:c>
      <x:c r="C2" s="3" t="str">
        <x:v>U.S. Operational AI-Compute Observations</x:v>
      </x:c>
      <x:c r="D2" s="3" t="str">
        <x:v>U.S. Operational AI-Compute Observations</x:v>
      </x:c>
      <x:c r="E2" s="3" t="str">
        <x:v>U.S. Operational AI-Compute Observations</x:v>
      </x:c>
      <x:c r="F2" s="3" t="str">
        <x:v>U.S. Operational AI-Compute Observations</x:v>
      </x:c>
      <x:c r="G2" s="3" t="str">
        <x:v>U.S. Operational AI-Compute Observations</x:v>
      </x:c>
    </x:row>
    <x:row r="3" ht="15" hidden="0" customHeight="1">
      <x:c r="A3" s="6" t="str">
        <x:v>For each quarter cutoff, sum the latest H100-equivalent state for every Epoch-covered U.S. data center. 2026-Q3 is quarter-to-date through 2026-08-26.</x:v>
      </x:c>
      <x:c r="B3" s="6" t="str">
        <x:v>For each quarter cutoff, sum the latest H100-equivalent state for every Epoch-covered U.S. data center. 2026-Q3 is quarter-to-date through 2026-08-26.</x:v>
      </x:c>
      <x:c r="C3" s="6" t="str">
        <x:v>For each quarter cutoff, sum the latest H100-equivalent state for every Epoch-covered U.S. data center. 2026-Q3 is quarter-to-date through 2026-08-26.</x:v>
      </x:c>
      <x:c r="D3" s="6" t="str">
        <x:v>For each quarter cutoff, sum the latest H100-equivalent state for every Epoch-covered U.S. data center. 2026-Q3 is quarter-to-date through 2026-08-26.</x:v>
      </x:c>
      <x:c r="E3" s="6" t="str">
        <x:v>For each quarter cutoff, sum the latest H100-equivalent state for every Epoch-covered U.S. data center. 2026-Q3 is quarter-to-date through 2026-08-26.</x:v>
      </x:c>
      <x:c r="F3" s="6" t="str">
        <x:v>For each quarter cutoff, sum the latest H100-equivalent state for every Epoch-covered U.S. data center. 2026-Q3 is quarter-to-date through 2026-08-26.</x:v>
      </x:c>
      <x:c r="G3" s="6" t="str">
        <x:v>For each quarter cutoff, sum the latest H100-equivalent state for every Epoch-covered U.S. data center. 2026-Q3 is quarter-to-date through 2026-08-26.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Operational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b7c688171d1342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URL / path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15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Quarterly U.S. operational H100e reconstructed from latest site state at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21.600000381469727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Model uses the user-specified rounded estimate of 342.8M residents; the selected target is 50%, or 171.4M users</x:v>
      </x:c>
    </x:row>
    <x:row r="10" ht="15" hidden="0" customHeight="1">
      <x:c r="A10" s="17" t="str">
        <x:v>SRC-005</x:v>
      </x:c>
      <x:c r="B10" s="17" t="str">
        <x:v>Personal AI forecast</x:v>
      </x:c>
      <x:c r="C10" s="17" t="str">
        <x:v>System capability and data-center buildouts workbook</x:v>
      </x:c>
      <x:c r="D10" s="20" t="n">
        <x:v>46260</x:v>
      </x:c>
      <x:c r="E10" s="17" t="str">
        <x:v>data/reports/legacy/personal-ai-system-capability-and-data-center-buildouts.xlsx</x:v>
      </x:c>
      <x:c r="F10" s="17" t="str">
        <x:v>Serving envelope and high-autonomy token mix; assumptions remain editable</x:v>
      </x:c>
    </x:row>
    <x:row r="11" ht="15" hidden="0" customHeight="1">
      <x:c r="A11" s="17" t="str">
        <x:v>SRC-006</x:v>
      </x:c>
      <x:c r="B11" s="17" t="str">
        <x:v>Personal AI forecast</x:v>
      </x:c>
      <x:c r="C11" s="17" t="str">
        <x:v>Model-harness capability report card</x:v>
      </x:c>
      <x:c r="D11" s="20" t="n">
        <x:v>46260</x:v>
      </x:c>
      <x:c r="E11" s="17" t="str">
        <x:v>data/reports/personal-ai-four-year-capability-report-card.xlsx</x:v>
      </x:c>
      <x:c r="F11" s="17" t="str">
        <x:v>Capability crosses 60% by interpolation around 2027-10-08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5d5467c917f341da"/>
  </x:tableParts>
</x:worksheet>
</file>