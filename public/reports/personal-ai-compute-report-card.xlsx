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f67f32020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2fbbc51d5e42b0"/>
    <x:sheet xmlns:r="http://schemas.openxmlformats.org/officeDocument/2006/relationships" name="Compute Report Card" sheetId="2" r:id="R90e4df5f120c4592"/>
    <x:sheet xmlns:r="http://schemas.openxmlformats.org/officeDocument/2006/relationships" name="Quarterly Model" sheetId="3" r:id="R6317b6c2ae934b35"/>
    <x:sheet xmlns:r="http://schemas.openxmlformats.org/officeDocument/2006/relationships" name="Assumptions" sheetId="4" r:id="R6025b029246641bc"/>
    <x:sheet xmlns:r="http://schemas.openxmlformats.org/officeDocument/2006/relationships" name="Observations" sheetId="5" r:id="R7511e55f45c34d4c"/>
    <x:sheet xmlns:r="http://schemas.openxmlformats.org/officeDocument/2006/relationships" name="Sources" sheetId="6" r:id="Rc60d5a680628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0%"/>
    <x:numFmt numFmtId="202" formatCode="yyyy-mm-dd"/>
    <x:numFmt numFmtId="203" formatCode="0.000E+00"/>
    <x:numFmt numFmtId="204" formatCode="0.0"/>
    <x:numFmt numFmtId="205" formatCode="0.00x"/>
    <x:numFmt numFmtId="206" formatCode="0.000"/>
    <x:numFmt numFmtId="207" formatCode="0.00E+00"/>
    <x:numFmt numFmtId="208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BBD0DD"/>
      <x:name val="Carlito"/>
    </x:font>
    <x:font>
      <x:b/>
      <x:sz val="11"/>
      <x:color rgb="FFFFFFFF"/>
      <x:name val="Carlito"/>
    </x:font>
    <x:font>
      <x:sz val="9"/>
      <x:color rgb="FF17212B"/>
      <x:name val="Carlito"/>
    </x:font>
    <x:font>
      <x:b/>
      <x:sz val="9"/>
      <x:color rgb="FF17212B"/>
      <x:name val="Carlito"/>
    </x:font>
    <x:font>
      <x:b/>
      <x:sz val="22"/>
      <x:color rgb="FF081B2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1B2B"/>
      </x:patternFill>
    </x:fill>
    <x:fill>
      <x:patternFill patternType="solid">
        <x:fgColor rgb="FF0F766E"/>
      </x:patternFill>
    </x:fill>
    <x:fill>
      <x:patternFill patternType="solid">
        <x:fgColor rgb="FFFFF3CF"/>
      </x:patternFill>
    </x:fill>
    <x:fill>
      <x:patternFill patternType="solid">
        <x:fgColor rgb="FFC58B1B"/>
      </x:patternFill>
    </x:fill>
    <x:fill>
      <x:patternFill patternType="solid">
        <x:fgColor rgb="FFCFE3F5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FE6"/>
      </x:left>
      <x:right style="thin">
        <x:color rgb="FFD6DFE6"/>
      </x:right>
      <x:top style="thin">
        <x:color rgb="FFD6DFE6"/>
      </x:top>
      <x:bottom style="thin">
        <x:color rgb="FFD6DFE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  <x:xf numFmtId="200" fontId="5" fillId="4" borderId="1" xfId="0" applyNumberFormat="1" applyFont="1" applyFill="1" applyBorder="1" applyAlignment="1">
      <x:alignment vertical="top" wrapText="1"/>
    </x:xf>
    <x:xf numFmtId="206" fontId="4" fillId="0" borderId="1" xfId="0" applyNumberFormat="1" applyFont="1" applyFill="1" applyBorder="1" applyAlignment="1">
      <x:alignment vertical="top" wrapText="1"/>
    </x:xf>
    <x:xf numFmtId="207" fontId="4" fillId="0" borderId="1" xfId="0" applyNumberFormat="1" applyFont="1" applyFill="1" applyBorder="1" applyAlignment="1">
      <x:alignment vertical="top" wrapText="1"/>
    </x:xf>
    <x:xf numFmtId="208" fontId="4" fillId="0" borderId="1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6" fontId="4" fillId="4" borderId="1" xfId="0" applyNumberFormat="1" applyFont="1" applyFill="1" applyBorder="1" applyAlignment="1">
      <x:alignment vertical="top" wrapText="1"/>
    </x:xf>
    <x:xf numFmtId="207" fontId="4" fillId="4" borderId="1" xfId="0" applyNumberFormat="1" applyFont="1" applyFill="1" applyBorder="1" applyAlignment="1">
      <x:alignment vertical="top" wrapText="1"/>
    </x:xf>
    <x:xf numFmtId="208" fontId="4" fillId="4" borderId="1" xfId="0" applyNumberFormat="1" applyFont="1" applyFill="1" applyBorder="1" applyAlignment="1">
      <x:alignment vertical="top" wrapText="1"/>
    </x:xf>
    <x:xf numFmtId="204" fontId="4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4" borderId="0" xfId="0" applyNumberFormat="1" applyFont="1" applyFill="1" applyBorder="1"/>
    <x:xf numFmtId="0" fontId="4" fillId="6" borderId="0" xfId="0" applyNumberFormat="1" applyFont="1" applyFill="1" applyBorder="1"/>
    <x:xf numFmtId="0" fontId="4" fillId="4" borderId="0" xfId="0" applyNumberFormat="1" applyFont="1" applyFill="1" applyBorder="1"/>
    <x:xf numFmtId="0" fontId="4" fillId="6" borderId="1" xfId="0" applyNumberFormat="1" applyFont="1" applyFill="1" applyBorder="1"/>
    <x:xf numFmtId="0" fontId="4" fillId="4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208" fontId="4" fillId="6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 vertical="center"/>
    </x:xf>
    <x:xf numFmtId="208" fontId="6" fillId="7" borderId="1" xfId="0" applyNumberFormat="1" applyFont="1" applyFill="1" applyBorder="1" applyAlignment="1">
      <x:alignment horizontal="center" vertical="center"/>
    </x:xf>
    <x:xf numFmtId="200" fontId="6" fillId="7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2" fontId="6" fillId="7" borderId="1" xfId="0" applyNumberFormat="1" applyFont="1" applyFill="1" applyBorder="1" applyAlignment="1">
      <x:alignment horizontal="center" vertical="center"/>
    </x:xf>
    <x:xf numFmtId="202" fontId="4" fillId="4" borderId="1" xfId="0" applyNumberFormat="1" applyFont="1" applyFill="1" applyBorder="1" applyAlignment="1">
      <x:alignment vertical="top" wrapText="1"/>
    </x:xf>
    <x:xf numFmtId="202" fontId="5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D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74b660a0a4650" /><Relationship Type="http://schemas.openxmlformats.org/officeDocument/2006/relationships/theme" Target="/xl/theme/theme1.xml" Id="R485b09e47e734287" /><Relationship Type="http://schemas.openxmlformats.org/officeDocument/2006/relationships/sharedStrings" Target="/xl/sharedStrings.xml" Id="R53fd5cf52982443f" /><Relationship Type="http://schemas.openxmlformats.org/officeDocument/2006/relationships/worksheet" Target="/xl/worksheets/sheet1.xml" Id="R3c2fbbc51d5e42b0" /><Relationship Type="http://schemas.openxmlformats.org/officeDocument/2006/relationships/worksheet" Target="/xl/worksheets/sheet2.xml" Id="R90e4df5f120c4592" /><Relationship Type="http://schemas.openxmlformats.org/officeDocument/2006/relationships/worksheet" Target="/xl/worksheets/sheet3.xml" Id="R6317b6c2ae934b35" /><Relationship Type="http://schemas.openxmlformats.org/officeDocument/2006/relationships/worksheet" Target="/xl/worksheets/sheet4.xml" Id="R6025b029246641bc" /><Relationship Type="http://schemas.openxmlformats.org/officeDocument/2006/relationships/worksheet" Target="/xl/worksheets/sheet5.xml" Id="R7511e55f45c34d4c" /><Relationship Type="http://schemas.openxmlformats.org/officeDocument/2006/relationships/worksheet" Target="/xl/worksheets/sheet6.xml" Id="Rc60d5a6806284a5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b68e3938d24a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U.S. serving capacity reaches the threshold in 2027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Supply score</c:v>
          </c:tx>
          <c:marker>
            <c:symbol val="none"/>
          </c:marker>
          <c:cat>
            <c:strRef>
              <c:f>'Summary'!$A$20:$A$39</c:f>
              <c:strCache>
                <c:ptCount val="0"/>
              </c:strCache>
            </c:strRef>
          </c:cat>
          <c:val>
            <c:numRef>
              <c:f>'Summary'!$B$20:$B$39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Full threshold</c:v>
          </c:tx>
          <c:marker>
            <c:symbol val="none"/>
          </c:marker>
          <c:cat>
            <c:strRef>
              <c:f>'Summary'!$A$20:$A$39</c:f>
              <c:strCache>
                <c:ptCount val="0"/>
              </c:strCache>
            </c:strRef>
          </c:cat>
          <c:val>
            <c:numRef>
              <c:f>'Summary'!$C$20:$C$39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17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b68e3938d24a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QuarterlyComputeModelTable" displayName="QuarterlyComputeModelTable" ref="A5:M25" headerRowCount="1" totalsRowCount="0" totalsRowShown="0">
  <x:tableColumns count="13">
    <x:tableColumn id="1" name="Quarter index"/>
    <x:tableColumn id="2" name="Quarter"/>
    <x:tableColumn id="3" name="Cutoff"/>
    <x:tableColumn id="4" name="Phase"/>
    <x:tableColumn id="5" name="U.S. H100e"/>
    <x:tableColumn id="6" name="log2 H100e"/>
    <x:tableColumn id="7" name="Log growth / qtr"/>
    <x:tableColumn id="8" name="Compute-eq tokens/day"/>
    <x:tableColumn id="9" name="Supported users"/>
    <x:tableColumn id="10" name="Score vs threshold"/>
    <x:tableColumn id="11" name="Rate"/>
    <x:tableColumn id="12" name="Letter"/>
    <x:tableColumn id="13" name="GP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USComputeObservationsTable" displayName="USComputeObservationsTable" ref="A5:G16" headerRowCount="1" totalsRowCount="0" totalsRowShown="0">
  <x:tableColumns count="7">
    <x:tableColumn id="1" name="Quarter index"/>
    <x:tableColumn id="2" name="Quarter"/>
    <x:tableColumn id="3" name="Cutoff date"/>
    <x:tableColumn id="4" name="U.S. operational H100e"/>
    <x:tableColumn id="5" name="Operational sites"/>
    <x:tableColumn id="6" name="Evidence class"/>
    <x:tableColumn id="7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uteSourcesTable" displayName="ComputeSourcesTable" ref="A5:F11" headerRowCount="1" totalsRowCount="0" totalsRowShown="0">
  <x:tableColumns count="6">
    <x:tableColumn id="1" name="Source ID"/>
    <x:tableColumn id="2" name="Publisher"/>
    <x:tableColumn id="3" name="Title / dataset"/>
    <x:tableColumn id="4" name="Updated / accessed"/>
    <x:tableColumn id="5" name="URL / path"/>
    <x:tableColumn id="6" name="Use and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8d6a9077de4c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841752e906a4c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252af36a5c046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1270e56dbdd47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17" hidden="0" customWidth="1"/>
    <x:col min="5" max="5" width="2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3" t="str">
        <x:v>Compute Gate for Diffuse Personal AI</x:v>
      </x:c>
      <x:c r="B1" s="3" t="str">
        <x:v>Compute Gate for Diffuse Personal AI</x:v>
      </x:c>
      <x:c r="C1" s="3" t="str">
        <x:v>Compute Gate for Diffuse Personal AI</x:v>
      </x:c>
      <x:c r="D1" s="3" t="str">
        <x:v>Compute Gate for Diffuse Personal AI</x:v>
      </x:c>
      <x:c r="E1" s="3" t="str">
        <x:v>Compute Gate for Diffuse Personal AI</x:v>
      </x:c>
      <x:c r="F1" s="3" t="str">
        <x:v>Compute Gate for Diffuse Personal AI</x:v>
      </x:c>
      <x:c r="G1" s="3" t="str">
        <x:v>Compute Gate for Diffuse Personal AI</x:v>
      </x:c>
      <x:c r="H1" s="3" t="str">
        <x:v>Compute Gate for Diffuse Personal AI</x:v>
      </x:c>
      <x:c r="I1" s="3" t="str">
        <x:v>Compute Gate for Diffuse Personal AI</x:v>
      </x:c>
      <x:c r="J1" s="3" t="str">
        <x:v>Compute Gate for Diffuse Personal AI</x:v>
      </x:c>
      <x:c r="K1" s="3" t="str">
        <x:v>Compute Gate for Diffuse Personal AI</x:v>
      </x:c>
      <x:c r="L1" s="3" t="str">
        <x:v>Compute Gate for Diffuse Personal AI</x:v>
      </x:c>
      <x:c r="M1" s="3" t="str">
        <x:v>Compute Gate for Diffuse Personal AI</x:v>
      </x:c>
      <x:c r="N1" s="3" t="str">
        <x:v>Compute Gate for Diffuse Personal AI</x:v>
      </x:c>
    </x:row>
    <x:row r="2" ht="28" customHeight="1">
      <x:c r="A2" s="3" t="str">
        <x:v>Compute Gate for Diffuse Personal AI</x:v>
      </x:c>
      <x:c r="B2" s="3" t="str">
        <x:v>Compute Gate for Diffuse Personal AI</x:v>
      </x:c>
      <x:c r="C2" s="3" t="str">
        <x:v>Compute Gate for Diffuse Personal AI</x:v>
      </x:c>
      <x:c r="D2" s="3" t="str">
        <x:v>Compute Gate for Diffuse Personal AI</x:v>
      </x:c>
      <x:c r="E2" s="3" t="str">
        <x:v>Compute Gate for Diffuse Personal AI</x:v>
      </x:c>
      <x:c r="F2" s="3" t="str">
        <x:v>Compute Gate for Diffuse Personal AI</x:v>
      </x:c>
      <x:c r="G2" s="3" t="str">
        <x:v>Compute Gate for Diffuse Personal AI</x:v>
      </x:c>
      <x:c r="H2" s="3" t="str">
        <x:v>Compute Gate for Diffuse Personal AI</x:v>
      </x:c>
      <x:c r="I2" s="3" t="str">
        <x:v>Compute Gate for Diffuse Personal AI</x:v>
      </x:c>
      <x:c r="J2" s="3" t="str">
        <x:v>Compute Gate for Diffuse Personal AI</x:v>
      </x:c>
      <x:c r="K2" s="3" t="str">
        <x:v>Compute Gate for Diffuse Personal AI</x:v>
      </x:c>
      <x:c r="L2" s="3" t="str">
        <x:v>Compute Gate for Diffuse Personal AI</x:v>
      </x:c>
      <x:c r="M2" s="3" t="str">
        <x:v>Compute Gate for Diffuse Personal AI</x:v>
      </x:c>
      <x:c r="N2" s="3" t="str">
        <x:v>Compute Gate for Diffuse Personal AI</x:v>
      </x:c>
    </x:row>
    <x:row r="3" ht="15" hidden="0" customHeight="1">
      <x:c r="A3" s="6" t="str">
        <x:v>Supply is measured in U.S.-located operational H100-equivalents and translated into supported high-autonomy users under a visible serving envelope.</x:v>
      </x:c>
      <x:c r="B3" s="6" t="str">
        <x:v>Supply is measured in U.S.-located operational H100-equivalents and translated into supported high-autonomy users under a visible serving envelope.</x:v>
      </x:c>
      <x:c r="C3" s="6" t="str">
        <x:v>Supply is measured in U.S.-located operational H100-equivalents and translated into supported high-autonomy users under a visible serving envelope.</x:v>
      </x:c>
      <x:c r="D3" s="6" t="str">
        <x:v>Supply is measured in U.S.-located operational H100-equivalents and translated into supported high-autonomy users under a visible serving envelope.</x:v>
      </x:c>
      <x:c r="E3" s="6" t="str">
        <x:v>Supply is measured in U.S.-located operational H100-equivalents and translated into supported high-autonomy users under a visible serving envelope.</x:v>
      </x:c>
      <x:c r="F3" s="6" t="str">
        <x:v>Supply is measured in U.S.-located operational H100-equivalents and translated into supported high-autonomy users under a visible serving envelope.</x:v>
      </x:c>
      <x:c r="G3" s="6" t="str">
        <x:v>Supply is measured in U.S.-located operational H100-equivalents and translated into supported high-autonomy users under a visible serving envelope.</x:v>
      </x:c>
      <x:c r="H3" s="6" t="str">
        <x:v>Supply is measured in U.S.-located operational H100-equivalents and translated into supported high-autonomy users under a visible serving envelope.</x:v>
      </x:c>
      <x:c r="I3" s="6" t="str">
        <x:v>Supply is measured in U.S.-located operational H100-equivalents and translated into supported high-autonomy users under a visible serving envelope.</x:v>
      </x:c>
      <x:c r="J3" s="6" t="str">
        <x:v>Supply is measured in U.S.-located operational H100-equivalents and translated into supported high-autonomy users under a visible serving envelope.</x:v>
      </x:c>
      <x:c r="K3" s="6" t="str">
        <x:v>Supply is measured in U.S.-located operational H100-equivalents and translated into supported high-autonomy users under a visible serving envelope.</x:v>
      </x:c>
      <x:c r="L3" s="6" t="str">
        <x:v>Supply is measured in U.S.-located operational H100-equivalents and translated into supported high-autonomy users under a visible serving envelope.</x:v>
      </x:c>
      <x:c r="M3" s="6" t="str">
        <x:v>Supply is measured in U.S.-located operational H100-equivalents and translated into supported high-autonomy users under a visible serving envelope.</x:v>
      </x:c>
      <x:c r="N3" s="6" t="str">
        <x:v>Supply is measured in U.S.-located operational H100-equivalents and translated into supported high-autonomy users under a visible serving envelope.</x:v>
      </x:c>
    </x:row>
    <x:row r="4"/>
    <x:row r="5" ht="15" hidden="0" customHeight="1">
      <x:c r="A5" s="9" t="str">
        <x:v>CURRENT SCORE</x:v>
      </x:c>
      <x:c r="B5" s="9" t="str">
        <x:v>CURRENT SCORE</x:v>
      </x:c>
      <x:c r="C5" s="9" t="str">
        <x:v>CURRENT SCORE</x:v>
      </x:c>
      <x:c r="D5" s="9" t="str">
        <x:v>CURRENT U.S. H100e</x:v>
      </x:c>
      <x:c r="E5" s="9" t="str">
        <x:v>CURRENT U.S. H100e</x:v>
      </x:c>
      <x:c r="F5" s="9" t="str">
        <x:v>CURRENT U.S. H100e</x:v>
      </x:c>
      <x:c r="G5" s="9" t="str">
        <x:v>SUPPORTED USERS</x:v>
      </x:c>
      <x:c r="H5" s="9" t="str">
        <x:v>SUPPORTED USERS</x:v>
      </x:c>
      <x:c r="I5" s="9" t="str">
        <x:v>SUPPORTED USERS</x:v>
      </x:c>
      <x:c r="J5" s="48" t="str">
        <x:v>SUPPLY CROSSING</x:v>
      </x:c>
      <x:c r="K5" s="48" t="str">
        <x:v>SUPPLY CROSSING</x:v>
      </x:c>
      <x:c r="L5" s="48" t="str">
        <x:v>SUPPLY CROSSING</x:v>
      </x:c>
      <x:c r="M5" s="9" t="str">
        <x:v>LETTER</x:v>
      </x:c>
      <x:c r="N5" s="9" t="str">
        <x:v>LETTER</x:v>
      </x:c>
    </x:row>
    <x:row r="6">
      <x:c r="A6" s="54" t="n">
        <x:f>'Quarterly Model'!J16</x:f>
        <x:v>0.37587725229616675</x:v>
      </x:c>
      <x:c r="D6" s="55" t="n">
        <x:f>'Quarterly Model'!E16</x:f>
        <x:v>13524006</x:v>
      </x:c>
      <x:c r="E6" s="56"/>
      <x:c r="F6" s="56"/>
      <x:c r="G6" s="55" t="n">
        <x:f>'Quarterly Model'!I16</x:f>
        <x:v>64425361.043562986</x:v>
      </x:c>
      <x:c r="J6" s="57" t="n">
        <x:f>'Assumptions'!B32</x:f>
        <x:v>46632.108708204854</x:v>
      </x:c>
      <x:c r="M6" s="53" t="str">
        <x:f>'Quarterly Model'!L16</x:f>
        <x:v>F</x:v>
      </x:c>
    </x:row>
    <x:row r="7"/>
    <x:row r="8"/>
    <x:row r="9"/>
    <x:row r="10"/>
    <x:row r="11" ht="15" hidden="0" customHeight="1">
      <x:c r="A11" s="9" t="str">
        <x:v>TWO-KEY DIFFUSION GATE</x:v>
      </x:c>
      <x:c r="B11" s="9" t="str">
        <x:v>TWO-KEY DIFFUSION GATE</x:v>
      </x:c>
      <x:c r="C11" s="9" t="str">
        <x:v>TWO-KEY DIFFUSION GATE</x:v>
      </x:c>
      <x:c r="D11" s="9" t="str">
        <x:v>TWO-KEY DIFFUSION GATE</x:v>
      </x:c>
      <x:c r="E11" s="9" t="str">
        <x:v>TWO-KEY DIFFUSION GATE</x:v>
      </x:c>
      <x:c r="F11" s="9" t="str">
        <x:v>TWO-KEY DIFFUSION GATE</x:v>
      </x:c>
    </x:row>
    <x:row r="12" ht="15" hidden="0" customHeight="1">
      <x:c r="A12" s="13" t="str">
        <x:v>Gate</x:v>
      </x:c>
      <x:c r="B12" s="13" t="str">
        <x:v>Threshold</x:v>
      </x:c>
      <x:c r="C12" s="13" t="str">
        <x:v>Current</x:v>
      </x:c>
      <x:c r="D12" s="13" t="str">
        <x:v>Projected crossing</x:v>
      </x:c>
      <x:c r="E12" s="13" t="str">
        <x:v>Status</x:v>
      </x:c>
      <x:c r="F12" s="13" t="str">
        <x:v>Source</x:v>
      </x:c>
    </x:row>
    <x:row r="13" ht="15" hidden="0" customHeight="1">
      <x:c r="A13" s="17" t="str">
        <x:v>Demand / capability</x:v>
      </x:c>
      <x:c r="B13" s="17" t="str">
        <x:v>Capability report ≥60%</x:v>
      </x:c>
      <x:c r="C13" s="29" t="n">
        <x:v>0.4461357386309524</x:v>
      </x:c>
      <x:c r="D13" s="20" t="n">
        <x:v>46779</x:v>
      </x:c>
      <x:c r="E13" s="17" t="str">
        <x:v>Waiting</x:v>
      </x:c>
      <x:c r="F13" s="17" t="str">
        <x:v>Model-harness report card</x:v>
      </x:c>
    </x:row>
    <x:row r="14" ht="15" hidden="0" customHeight="1">
      <x:c r="A14" s="17" t="str">
        <x:v>Supply / compute</x:v>
      </x:c>
      <x:c r="B14" s="17" t="str">
        <x:v>Serve 50% of U.S. population</x:v>
      </x:c>
      <x:c r="C14" s="29" t="n">
        <x:f>'Quarterly Model'!J16</x:f>
        <x:v>0.37587725229616675</x:v>
      </x:c>
      <x:c r="D14" s="20" t="n">
        <x:f>'Assumptions'!B32</x:f>
        <x:v>46632.108708204854</x:v>
      </x:c>
      <x:c r="E14" s="17" t="str">
        <x:v>Waiting</x:v>
      </x:c>
      <x:c r="F14" s="17" t="str">
        <x:v>This workbook</x:v>
      </x:c>
    </x:row>
    <x:row r="15" ht="15" hidden="0" customHeight="1">
      <x:c r="A15" s="24" t="str">
        <x:v>Countdown target</x:v>
      </x:c>
      <x:c r="B15" s="24" t="str">
        <x:v>Both gates passed</x:v>
      </x:c>
      <x:c r="C15" s="24"/>
      <x:c r="D15" s="59" t="n">
        <x:f>'Assumptions'!B35</x:f>
        <x:v>46779</x:v>
      </x:c>
      <x:c r="E15" s="24" t="str">
        <x:v>Later crossing</x:v>
      </x:c>
      <x:c r="F15" s="24" t="str">
        <x:v>MAX(capability, supply)</x:v>
      </x:c>
    </x:row>
    <x:row r="16"/>
    <x:row r="17"/>
    <x:row r="18" ht="15" hidden="0" customHeight="1">
      <x:c r="A18" s="9" t="str">
        <x:v>QUARTERLY SUPPLY SCORE</x:v>
      </x:c>
      <x:c r="B18" s="9" t="str">
        <x:v>QUARTERLY SUPPLY SCORE</x:v>
      </x:c>
      <x:c r="C18" s="9" t="str">
        <x:v>QUARTERLY SUPPLY SCORE</x:v>
      </x:c>
    </x:row>
    <x:row r="19" ht="15" hidden="0" customHeight="1">
      <x:c r="A19" s="13" t="str">
        <x:v>Quarter</x:v>
      </x:c>
      <x:c r="B19" s="13" t="str">
        <x:v>Supply score</x:v>
      </x:c>
      <x:c r="C19" s="13" t="str">
        <x:v>Full threshold</x:v>
      </x:c>
    </x:row>
    <x:row r="20" ht="15" hidden="0" customHeight="1">
      <x:c r="A20" s="17" t="str">
        <x:f>'Quarterly Model'!B6</x:f>
        <x:v>2024-Q1</x:v>
      </x:c>
      <x:c r="B20" s="19" t="n">
        <x:f>'Quarterly Model'!J6</x:f>
        <x:v>0.00682782226716592</x:v>
      </x:c>
      <x:c r="C20" s="19" t="n">
        <x:f>1</x:f>
        <x:v>1</x:v>
      </x:c>
    </x:row>
    <x:row r="21" ht="15" hidden="0" customHeight="1">
      <x:c r="A21" s="17" t="str">
        <x:f>'Quarterly Model'!B7</x:f>
        <x:v>2024-Q2</x:v>
      </x:c>
      <x:c r="B21" s="19" t="n">
        <x:f>'Quarterly Model'!J7</x:f>
        <x:v>0.01320844974682248</x:v>
      </x:c>
      <x:c r="C21" s="19" t="n">
        <x:f>1</x:f>
        <x:v>1</x:v>
      </x:c>
    </x:row>
    <x:row r="22" ht="15" hidden="0" customHeight="1">
      <x:c r="A22" s="17" t="str">
        <x:f>'Quarterly Model'!B8</x:f>
        <x:v>2024-Q3</x:v>
      </x:c>
      <x:c r="B22" s="19" t="n">
        <x:f>'Quarterly Model'!J8</x:f>
        <x:v>0.020071791898291506</x:v>
      </x:c>
      <x:c r="C22" s="19" t="n">
        <x:f>1</x:f>
        <x:v>1</x:v>
      </x:c>
    </x:row>
    <x:row r="23" ht="15" hidden="0" customHeight="1">
      <x:c r="A23" s="17" t="str">
        <x:f>'Quarterly Model'!B9</x:f>
        <x:v>2024-Q4</x:v>
      </x:c>
      <x:c r="B23" s="19" t="n">
        <x:f>'Quarterly Model'!J9</x:f>
        <x:v>0.02814028092242638</x:v>
      </x:c>
      <x:c r="C23" s="19" t="n">
        <x:f>1</x:f>
        <x:v>1</x:v>
      </x:c>
    </x:row>
    <x:row r="24" ht="15" hidden="0" customHeight="1">
      <x:c r="A24" s="17" t="str">
        <x:f>'Quarterly Model'!B10</x:f>
        <x:v>2025-Q1</x:v>
      </x:c>
      <x:c r="B24" s="19" t="n">
        <x:f>'Quarterly Model'!J10</x:f>
        <x:v>0.037555468283042195</x:v>
      </x:c>
      <x:c r="C24" s="19" t="n">
        <x:f>1</x:f>
        <x:v>1</x:v>
      </x:c>
    </x:row>
    <x:row r="25" ht="15" hidden="0" customHeight="1">
      <x:c r="A25" s="17" t="str">
        <x:f>'Quarterly Model'!B11</x:f>
        <x:v>2025-Q2</x:v>
      </x:c>
      <x:c r="B25" s="19" t="n">
        <x:f>'Quarterly Model'!J11</x:f>
        <x:v>0.06633924833009283</x:v>
      </x:c>
      <x:c r="C25" s="19" t="n">
        <x:f>1</x:f>
        <x:v>1</x:v>
      </x:c>
    </x:row>
    <x:row r="26" ht="15" hidden="0" customHeight="1">
      <x:c r="A26" s="17" t="str">
        <x:f>'Quarterly Model'!B12</x:f>
        <x:v>2025-Q3</x:v>
      </x:c>
      <x:c r="B26" s="19" t="n">
        <x:f>'Quarterly Model'!J12</x:f>
        <x:v>0.08726162750476324</x:v>
      </x:c>
      <x:c r="C26" s="19" t="n">
        <x:f>1</x:f>
        <x:v>1</x:v>
      </x:c>
    </x:row>
    <x:row r="27" ht="15" hidden="0" customHeight="1">
      <x:c r="A27" s="17" t="str">
        <x:f>'Quarterly Model'!B13</x:f>
        <x:v>2025-Q4</x:v>
      </x:c>
      <x:c r="B27" s="19" t="n">
        <x:f>'Quarterly Model'!J13</x:f>
        <x:v>0.14706496698305438</x:v>
      </x:c>
      <x:c r="C27" s="19" t="n">
        <x:f>1</x:f>
        <x:v>1</x:v>
      </x:c>
    </x:row>
    <x:row r="28" ht="15" hidden="0" customHeight="1">
      <x:c r="A28" s="17" t="str">
        <x:f>'Quarterly Model'!B14</x:f>
        <x:v>2026-Q1</x:v>
      </x:c>
      <x:c r="B28" s="19" t="n">
        <x:f>'Quarterly Model'!J14</x:f>
        <x:v>0.17513398579018094</x:v>
      </x:c>
      <x:c r="C28" s="19" t="n">
        <x:f>1</x:f>
        <x:v>1</x:v>
      </x:c>
    </x:row>
    <x:row r="29" ht="15" hidden="0" customHeight="1">
      <x:c r="A29" s="17" t="str">
        <x:f>'Quarterly Model'!B15</x:f>
        <x:v>2026-Q2</x:v>
      </x:c>
      <x:c r="B29" s="19" t="n">
        <x:f>'Quarterly Model'!J15</x:f>
        <x:v>0.31194838109141576</x:v>
      </x:c>
      <x:c r="C29" s="19" t="n">
        <x:f>1</x:f>
        <x:v>1</x:v>
      </x:c>
    </x:row>
    <x:row r="30" ht="15" hidden="0" customHeight="1">
      <x:c r="A30" s="17" t="str">
        <x:f>'Quarterly Model'!B16</x:f>
        <x:v>2026-Q3</x:v>
      </x:c>
      <x:c r="B30" s="19" t="n">
        <x:f>'Quarterly Model'!J16</x:f>
        <x:v>0.37587725229616675</x:v>
      </x:c>
      <x:c r="C30" s="19" t="n">
        <x:f>1</x:f>
        <x:v>1</x:v>
      </x:c>
    </x:row>
    <x:row r="31" ht="15" hidden="0" customHeight="1">
      <x:c r="A31" s="17" t="str">
        <x:f>'Quarterly Model'!B17</x:f>
        <x:v>2026-Q4</x:v>
      </x:c>
      <x:c r="B31" s="19" t="n">
        <x:f>'Quarterly Model'!J17</x:f>
        <x:v>0.5038169880198742</x:v>
      </x:c>
      <x:c r="C31" s="19" t="n">
        <x:f>1</x:f>
        <x:v>1</x:v>
      </x:c>
    </x:row>
    <x:row r="32" ht="15" hidden="0" customHeight="1">
      <x:c r="A32" s="17" t="str">
        <x:f>'Quarterly Model'!B18</x:f>
        <x:v>2027-Q1</x:v>
      </x:c>
      <x:c r="B32" s="19" t="n">
        <x:f>'Quarterly Model'!J18</x:f>
        <x:v>0.660890709854224</x:v>
      </x:c>
      <x:c r="C32" s="19" t="n">
        <x:f>1</x:f>
        <x:v>1</x:v>
      </x:c>
    </x:row>
    <x:row r="33" ht="15" hidden="0" customHeight="1">
      <x:c r="A33" s="17" t="str">
        <x:f>'Quarterly Model'!B19</x:f>
        <x:v>2027-Q2</x:v>
      </x:c>
      <x:c r="B33" s="19" t="n">
        <x:f>'Quarterly Model'!J19</x:f>
        <x:v>0.8484310673527545</x:v>
      </x:c>
      <x:c r="C33" s="19" t="n">
        <x:f>1</x:f>
        <x:v>1</x:v>
      </x:c>
    </x:row>
    <x:row r="34" ht="15" hidden="0" customHeight="1">
      <x:c r="A34" s="17" t="str">
        <x:f>'Quarterly Model'!B20</x:f>
        <x:v>2027-Q3</x:v>
      </x:c>
      <x:c r="B34" s="19" t="n">
        <x:f>'Quarterly Model'!J20</x:f>
        <x:v>1</x:v>
      </x:c>
      <x:c r="C34" s="19" t="n">
        <x:f>1</x:f>
        <x:v>1</x:v>
      </x:c>
    </x:row>
    <x:row r="35" ht="15" hidden="0" customHeight="1">
      <x:c r="A35" s="17" t="str">
        <x:f>'Quarterly Model'!B21</x:f>
        <x:v>2027-Q4</x:v>
      </x:c>
      <x:c r="B35" s="19" t="n">
        <x:f>'Quarterly Model'!J21</x:f>
        <x:v>1</x:v>
      </x:c>
      <x:c r="C35" s="19" t="n">
        <x:f>1</x:f>
        <x:v>1</x:v>
      </x:c>
    </x:row>
    <x:row r="36" ht="15" hidden="0" customHeight="1">
      <x:c r="A36" s="17" t="str">
        <x:f>'Quarterly Model'!B22</x:f>
        <x:v>2028-Q1</x:v>
      </x:c>
      <x:c r="B36" s="19" t="n">
        <x:f>'Quarterly Model'!J22</x:f>
        <x:v>1</x:v>
      </x:c>
      <x:c r="C36" s="19" t="n">
        <x:f>1</x:f>
        <x:v>1</x:v>
      </x:c>
    </x:row>
    <x:row r="37" ht="15" hidden="0" customHeight="1">
      <x:c r="A37" s="17" t="str">
        <x:f>'Quarterly Model'!B23</x:f>
        <x:v>2028-Q2</x:v>
      </x:c>
      <x:c r="B37" s="19" t="n">
        <x:f>'Quarterly Model'!J23</x:f>
        <x:v>1</x:v>
      </x:c>
      <x:c r="C37" s="19" t="n">
        <x:f>1</x:f>
        <x:v>1</x:v>
      </x:c>
    </x:row>
    <x:row r="38" ht="15" hidden="0" customHeight="1">
      <x:c r="A38" s="17" t="str">
        <x:f>'Quarterly Model'!B24</x:f>
        <x:v>2028-Q3</x:v>
      </x:c>
      <x:c r="B38" s="19" t="n">
        <x:f>'Quarterly Model'!J24</x:f>
        <x:v>1</x:v>
      </x:c>
      <x:c r="C38" s="19" t="n">
        <x:f>1</x:f>
        <x:v>1</x:v>
      </x:c>
    </x:row>
    <x:row r="39" ht="15" hidden="0" customHeight="1">
      <x:c r="A39" s="17" t="str">
        <x:f>'Quarterly Model'!B25</x:f>
        <x:v>2028-Q4</x:v>
      </x:c>
      <x:c r="B39" s="19" t="n">
        <x:f>'Quarterly Model'!J25</x:f>
        <x:v>1</x:v>
      </x:c>
      <x:c r="C39" s="19" t="n">
        <x:f>1</x:f>
        <x:v>1</x:v>
      </x:c>
    </x:row>
    <x:row r="40"/>
    <x:row r="41" ht="38" hidden="0" customHeight="1">
      <x:c r="A41" s="24" t="str">
        <x:v>Interpretation</x:v>
      </x:c>
      <x:c r="B41" s="17" t="str">
        <x:v>Current U.S. operational capacity supports about 64 million high-autonomy users under the base serving envelope—37.6% of the 171.3 million-user threshold.</x:v>
      </x:c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 ht="38" hidden="0" customHeight="1">
      <x:c r="A42" s="24" t="str">
        <x:v>Projection</x:v>
      </x:c>
      <x:c r="B42" s="17" t="str">
        <x:v>Quarterly log-capacity growth is smoothed with a rate trend: the slope of observed growth rates supplies acceleration; the fitted current rate supplies velocity.</x:v>
      </x:c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 ht="38" hidden="0" customHeight="1">
      <x:c r="A43" s="24" t="str">
        <x:v>Boundary</x:v>
      </x:c>
      <x:c r="B43" s="17" t="str">
        <x:v>H100e already normalizes chip peak compute. No separate Jalapeño, Cerebras, or Rubin multiplier is added unless it represents deployed serving goodput beyond the H100e convention.</x:v>
      </x:c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 ht="38" hidden="0" customHeight="1">
      <x:c r="A44" s="24" t="str">
        <x:v>Caution</x:v>
      </x:c>
      <x:c r="B44" s="17" t="str">
        <x:v>Epoch estimates carry quantity and timing uncertainty; workload tokens, inference allocation, utilization, active parameters, and overhead are editable assumptions rather than observations.</x:v>
      </x:c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</x:sheetData>
  <x:mergeCells>
    <x:mergeCell ref="A1:N2"/>
    <x:mergeCell ref="A3:N3"/>
    <x:mergeCell ref="A5:C5"/>
    <x:mergeCell ref="D5:F5"/>
    <x:mergeCell ref="G5:I5"/>
    <x:mergeCell ref="J5:L5"/>
    <x:mergeCell ref="M5:N5"/>
    <x:mergeCell ref="A6:C9"/>
    <x:mergeCell ref="D6:F9"/>
    <x:mergeCell ref="G6:I9"/>
    <x:mergeCell ref="J6:L9"/>
    <x:mergeCell ref="M6:N9"/>
    <x:mergeCell ref="A11:F11"/>
    <x:mergeCell ref="A18:C18"/>
    <x:mergeCell ref="B41:N41"/>
    <x:mergeCell ref="B42:N42"/>
    <x:mergeCell ref="B43:N43"/>
    <x:mergeCell ref="B44:N44"/>
  </x:mergeCells>
  <x:pageMargins left="0.7" right="0.7" top="0.75" bottom="0.75" header="0.3" footer="0.3"/>
  <x:drawing xmlns:r="http://schemas.openxmlformats.org/officeDocument/2006/relationships" r:id="Rd08d6a9077de4ce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13" hidden="0" customWidth="1"/>
    <x:col min="44" max="44" width="9" hidden="0" customWidth="1"/>
    <x:col min="45" max="45" width="9" hidden="0" customWidth="1"/>
    <x:col min="46" max="46" width="15" hidden="0" customWidth="1"/>
    <x:col min="47" max="47" width="13" hidden="0" customWidth="1"/>
    <x:col min="48" max="48" width="13" hidden="0" customWidth="1"/>
  </x:cols>
  <x:sheetData>
    <x:row r="1" ht="28" customHeight="1">
      <x:c r="A1" s="3" t="str">
        <x:v>Compute Report Card — U.S. Supply for Diffuse Personal AI</x:v>
      </x:c>
      <x:c r="B1" s="3" t="str">
        <x:v>Compute Report Card — U.S. Supply for Diffuse Personal AI</x:v>
      </x:c>
      <x:c r="C1" s="3" t="str">
        <x:v>Compute Report Card — U.S. Supply for Diffuse Personal AI</x:v>
      </x:c>
      <x:c r="D1" s="3" t="str">
        <x:v>Compute Report Card — U.S. Supply for Diffuse Personal AI</x:v>
      </x:c>
      <x:c r="E1" s="3" t="str">
        <x:v>Compute Report Card — U.S. Supply for Diffuse Personal AI</x:v>
      </x:c>
      <x:c r="F1" s="3" t="str">
        <x:v>Compute Report Card — U.S. Supply for Diffuse Personal AI</x:v>
      </x:c>
      <x:c r="G1" s="3" t="str">
        <x:v>Compute Report Card — U.S. Supply for Diffuse Personal AI</x:v>
      </x:c>
      <x:c r="H1" s="3" t="str">
        <x:v>Compute Report Card — U.S. Supply for Diffuse Personal AI</x:v>
      </x:c>
      <x:c r="I1" s="3" t="str">
        <x:v>Compute Report Card — U.S. Supply for Diffuse Personal AI</x:v>
      </x:c>
      <x:c r="J1" s="3" t="str">
        <x:v>Compute Report Card — U.S. Supply for Diffuse Personal AI</x:v>
      </x:c>
      <x:c r="K1" s="3" t="str">
        <x:v>Compute Report Card — U.S. Supply for Diffuse Personal AI</x:v>
      </x:c>
      <x:c r="L1" s="3" t="str">
        <x:v>Compute Report Card — U.S. Supply for Diffuse Personal AI</x:v>
      </x:c>
      <x:c r="M1" s="3" t="str">
        <x:v>Compute Report Card — U.S. Supply for Diffuse Personal AI</x:v>
      </x:c>
      <x:c r="N1" s="3" t="str">
        <x:v>Compute Report Card — U.S. Supply for Diffuse Personal AI</x:v>
      </x:c>
      <x:c r="O1" s="3" t="str">
        <x:v>Compute Report Card — U.S. Supply for Diffuse Personal AI</x:v>
      </x:c>
      <x:c r="P1" s="3" t="str">
        <x:v>Compute Report Card — U.S. Supply for Diffuse Personal AI</x:v>
      </x:c>
      <x:c r="Q1" s="3" t="str">
        <x:v>Compute Report Card — U.S. Supply for Diffuse Personal AI</x:v>
      </x:c>
      <x:c r="R1" s="3" t="str">
        <x:v>Compute Report Card — U.S. Supply for Diffuse Personal AI</x:v>
      </x:c>
      <x:c r="S1" s="3" t="str">
        <x:v>Compute Report Card — U.S. Supply for Diffuse Personal AI</x:v>
      </x:c>
      <x:c r="T1" s="3" t="str">
        <x:v>Compute Report Card — U.S. Supply for Diffuse Personal AI</x:v>
      </x:c>
      <x:c r="U1" s="3" t="str">
        <x:v>Compute Report Card — U.S. Supply for Diffuse Personal AI</x:v>
      </x:c>
      <x:c r="V1" s="3" t="str">
        <x:v>Compute Report Card — U.S. Supply for Diffuse Personal AI</x:v>
      </x:c>
      <x:c r="W1" s="3" t="str">
        <x:v>Compute Report Card — U.S. Supply for Diffuse Personal AI</x:v>
      </x:c>
      <x:c r="X1" s="3" t="str">
        <x:v>Compute Report Card — U.S. Supply for Diffuse Personal AI</x:v>
      </x:c>
      <x:c r="Y1" s="3" t="str">
        <x:v>Compute Report Card — U.S. Supply for Diffuse Personal AI</x:v>
      </x:c>
      <x:c r="Z1" s="3" t="str">
        <x:v>Compute Report Card — U.S. Supply for Diffuse Personal AI</x:v>
      </x:c>
      <x:c r="AA1" s="3" t="str">
        <x:v>Compute Report Card — U.S. Supply for Diffuse Personal AI</x:v>
      </x:c>
      <x:c r="AB1" s="3" t="str">
        <x:v>Compute Report Card — U.S. Supply for Diffuse Personal AI</x:v>
      </x:c>
      <x:c r="AC1" s="3" t="str">
        <x:v>Compute Report Card — U.S. Supply for Diffuse Personal AI</x:v>
      </x:c>
      <x:c r="AD1" s="3" t="str">
        <x:v>Compute Report Card — U.S. Supply for Diffuse Personal AI</x:v>
      </x:c>
      <x:c r="AE1" s="3" t="str">
        <x:v>Compute Report Card — U.S. Supply for Diffuse Personal AI</x:v>
      </x:c>
      <x:c r="AF1" s="3" t="str">
        <x:v>Compute Report Card — U.S. Supply for Diffuse Personal AI</x:v>
      </x:c>
      <x:c r="AG1" s="3" t="str">
        <x:v>Compute Report Card — U.S. Supply for Diffuse Personal AI</x:v>
      </x:c>
      <x:c r="AH1" s="3" t="str">
        <x:v>Compute Report Card — U.S. Supply for Diffuse Personal AI</x:v>
      </x:c>
      <x:c r="AI1" s="3" t="str">
        <x:v>Compute Report Card — U.S. Supply for Diffuse Personal AI</x:v>
      </x:c>
      <x:c r="AJ1" s="3" t="str">
        <x:v>Compute Report Card — U.S. Supply for Diffuse Personal AI</x:v>
      </x:c>
      <x:c r="AK1" s="3" t="str">
        <x:v>Compute Report Card — U.S. Supply for Diffuse Personal AI</x:v>
      </x:c>
      <x:c r="AL1" s="3" t="str">
        <x:v>Compute Report Card — U.S. Supply for Diffuse Personal AI</x:v>
      </x:c>
      <x:c r="AM1" s="3" t="str">
        <x:v>Compute Report Card — U.S. Supply for Diffuse Personal AI</x:v>
      </x:c>
      <x:c r="AN1" s="3" t="str">
        <x:v>Compute Report Card — U.S. Supply for Diffuse Personal AI</x:v>
      </x:c>
      <x:c r="AO1" s="3" t="str">
        <x:v>Compute Report Card — U.S. Supply for Diffuse Personal AI</x:v>
      </x:c>
      <x:c r="AP1" s="3" t="str">
        <x:v>Compute Report Card — U.S. Supply for Diffuse Personal AI</x:v>
      </x:c>
      <x:c r="AQ1" s="3" t="str">
        <x:v>Compute Report Card — U.S. Supply for Diffuse Personal AI</x:v>
      </x:c>
      <x:c r="AR1" s="3" t="str">
        <x:v>Compute Report Card — U.S. Supply for Diffuse Personal AI</x:v>
      </x:c>
      <x:c r="AS1" s="3" t="str">
        <x:v>Compute Report Card — U.S. Supply for Diffuse Personal AI</x:v>
      </x:c>
      <x:c r="AT1" s="3" t="str">
        <x:v>Compute Report Card — U.S. Supply for Diffuse Personal AI</x:v>
      </x:c>
      <x:c r="AU1" s="3" t="str">
        <x:v>Compute Report Card — U.S. Supply for Diffuse Personal AI</x:v>
      </x:c>
      <x:c r="AV1" s="3" t="str">
        <x:v>Compute Report Card — U.S. Supply for Diffuse Personal AI</x:v>
      </x:c>
    </x:row>
    <x:row r="2" ht="28" customHeight="1">
      <x:c r="A2" s="3" t="str">
        <x:v>Compute Report Card — U.S. Supply for Diffuse Personal AI</x:v>
      </x:c>
      <x:c r="B2" s="3" t="str">
        <x:v>Compute Report Card — U.S. Supply for Diffuse Personal AI</x:v>
      </x:c>
      <x:c r="C2" s="3" t="str">
        <x:v>Compute Report Card — U.S. Supply for Diffuse Personal AI</x:v>
      </x:c>
      <x:c r="D2" s="3" t="str">
        <x:v>Compute Report Card — U.S. Supply for Diffuse Personal AI</x:v>
      </x:c>
      <x:c r="E2" s="3" t="str">
        <x:v>Compute Report Card — U.S. Supply for Diffuse Personal AI</x:v>
      </x:c>
      <x:c r="F2" s="3" t="str">
        <x:v>Compute Report Card — U.S. Supply for Diffuse Personal AI</x:v>
      </x:c>
      <x:c r="G2" s="3" t="str">
        <x:v>Compute Report Card — U.S. Supply for Diffuse Personal AI</x:v>
      </x:c>
      <x:c r="H2" s="3" t="str">
        <x:v>Compute Report Card — U.S. Supply for Diffuse Personal AI</x:v>
      </x:c>
      <x:c r="I2" s="3" t="str">
        <x:v>Compute Report Card — U.S. Supply for Diffuse Personal AI</x:v>
      </x:c>
      <x:c r="J2" s="3" t="str">
        <x:v>Compute Report Card — U.S. Supply for Diffuse Personal AI</x:v>
      </x:c>
      <x:c r="K2" s="3" t="str">
        <x:v>Compute Report Card — U.S. Supply for Diffuse Personal AI</x:v>
      </x:c>
      <x:c r="L2" s="3" t="str">
        <x:v>Compute Report Card — U.S. Supply for Diffuse Personal AI</x:v>
      </x:c>
      <x:c r="M2" s="3" t="str">
        <x:v>Compute Report Card — U.S. Supply for Diffuse Personal AI</x:v>
      </x:c>
      <x:c r="N2" s="3" t="str">
        <x:v>Compute Report Card — U.S. Supply for Diffuse Personal AI</x:v>
      </x:c>
      <x:c r="O2" s="3" t="str">
        <x:v>Compute Report Card — U.S. Supply for Diffuse Personal AI</x:v>
      </x:c>
      <x:c r="P2" s="3" t="str">
        <x:v>Compute Report Card — U.S. Supply for Diffuse Personal AI</x:v>
      </x:c>
      <x:c r="Q2" s="3" t="str">
        <x:v>Compute Report Card — U.S. Supply for Diffuse Personal AI</x:v>
      </x:c>
      <x:c r="R2" s="3" t="str">
        <x:v>Compute Report Card — U.S. Supply for Diffuse Personal AI</x:v>
      </x:c>
      <x:c r="S2" s="3" t="str">
        <x:v>Compute Report Card — U.S. Supply for Diffuse Personal AI</x:v>
      </x:c>
      <x:c r="T2" s="3" t="str">
        <x:v>Compute Report Card — U.S. Supply for Diffuse Personal AI</x:v>
      </x:c>
      <x:c r="U2" s="3" t="str">
        <x:v>Compute Report Card — U.S. Supply for Diffuse Personal AI</x:v>
      </x:c>
      <x:c r="V2" s="3" t="str">
        <x:v>Compute Report Card — U.S. Supply for Diffuse Personal AI</x:v>
      </x:c>
      <x:c r="W2" s="3" t="str">
        <x:v>Compute Report Card — U.S. Supply for Diffuse Personal AI</x:v>
      </x:c>
      <x:c r="X2" s="3" t="str">
        <x:v>Compute Report Card — U.S. Supply for Diffuse Personal AI</x:v>
      </x:c>
      <x:c r="Y2" s="3" t="str">
        <x:v>Compute Report Card — U.S. Supply for Diffuse Personal AI</x:v>
      </x:c>
      <x:c r="Z2" s="3" t="str">
        <x:v>Compute Report Card — U.S. Supply for Diffuse Personal AI</x:v>
      </x:c>
      <x:c r="AA2" s="3" t="str">
        <x:v>Compute Report Card — U.S. Supply for Diffuse Personal AI</x:v>
      </x:c>
      <x:c r="AB2" s="3" t="str">
        <x:v>Compute Report Card — U.S. Supply for Diffuse Personal AI</x:v>
      </x:c>
      <x:c r="AC2" s="3" t="str">
        <x:v>Compute Report Card — U.S. Supply for Diffuse Personal AI</x:v>
      </x:c>
      <x:c r="AD2" s="3" t="str">
        <x:v>Compute Report Card — U.S. Supply for Diffuse Personal AI</x:v>
      </x:c>
      <x:c r="AE2" s="3" t="str">
        <x:v>Compute Report Card — U.S. Supply for Diffuse Personal AI</x:v>
      </x:c>
      <x:c r="AF2" s="3" t="str">
        <x:v>Compute Report Card — U.S. Supply for Diffuse Personal AI</x:v>
      </x:c>
      <x:c r="AG2" s="3" t="str">
        <x:v>Compute Report Card — U.S. Supply for Diffuse Personal AI</x:v>
      </x:c>
      <x:c r="AH2" s="3" t="str">
        <x:v>Compute Report Card — U.S. Supply for Diffuse Personal AI</x:v>
      </x:c>
      <x:c r="AI2" s="3" t="str">
        <x:v>Compute Report Card — U.S. Supply for Diffuse Personal AI</x:v>
      </x:c>
      <x:c r="AJ2" s="3" t="str">
        <x:v>Compute Report Card — U.S. Supply for Diffuse Personal AI</x:v>
      </x:c>
      <x:c r="AK2" s="3" t="str">
        <x:v>Compute Report Card — U.S. Supply for Diffuse Personal AI</x:v>
      </x:c>
      <x:c r="AL2" s="3" t="str">
        <x:v>Compute Report Card — U.S. Supply for Diffuse Personal AI</x:v>
      </x:c>
      <x:c r="AM2" s="3" t="str">
        <x:v>Compute Report Card — U.S. Supply for Diffuse Personal AI</x:v>
      </x:c>
      <x:c r="AN2" s="3" t="str">
        <x:v>Compute Report Card — U.S. Supply for Diffuse Personal AI</x:v>
      </x:c>
      <x:c r="AO2" s="3" t="str">
        <x:v>Compute Report Card — U.S. Supply for Diffuse Personal AI</x:v>
      </x:c>
      <x:c r="AP2" s="3" t="str">
        <x:v>Compute Report Card — U.S. Supply for Diffuse Personal AI</x:v>
      </x:c>
      <x:c r="AQ2" s="3" t="str">
        <x:v>Compute Report Card — U.S. Supply for Diffuse Personal AI</x:v>
      </x:c>
      <x:c r="AR2" s="3" t="str">
        <x:v>Compute Report Card — U.S. Supply for Diffuse Personal AI</x:v>
      </x:c>
      <x:c r="AS2" s="3" t="str">
        <x:v>Compute Report Card — U.S. Supply for Diffuse Personal AI</x:v>
      </x:c>
      <x:c r="AT2" s="3" t="str">
        <x:v>Compute Report Card — U.S. Supply for Diffuse Personal AI</x:v>
      </x:c>
      <x:c r="AU2" s="3" t="str">
        <x:v>Compute Report Card — U.S. Supply for Diffuse Personal AI</x:v>
      </x:c>
      <x:c r="AV2" s="3" t="str">
        <x:v>Compute Report Card — U.S. Supply for Diffuse Personal AI</x:v>
      </x:c>
    </x:row>
    <x:row r="3" ht="15" hidden="0" customHeight="1">
      <x:c r="A3" s="6" t="str">
        <x:v>One score: the share of the 50%-of-U.S.-population threshold that operational American compute can support. Observed through 2026-Q3; projected through 2028-Q4.</x:v>
      </x:c>
      <x:c r="B3" s="6" t="str">
        <x:v>One score: the share of the 50%-of-U.S.-population threshold that operational American compute can support. Observed through 2026-Q3; projected through 2028-Q4.</x:v>
      </x:c>
      <x:c r="C3" s="6" t="str">
        <x:v>One score: the share of the 50%-of-U.S.-population threshold that operational American compute can support. Observed through 2026-Q3; projected through 2028-Q4.</x:v>
      </x:c>
      <x:c r="D3" s="6" t="str">
        <x:v>One score: the share of the 50%-of-U.S.-population threshold that operational American compute can support. Observed through 2026-Q3; projected through 2028-Q4.</x:v>
      </x:c>
      <x:c r="E3" s="6" t="str">
        <x:v>One score: the share of the 50%-of-U.S.-population threshold that operational American compute can support. Observed through 2026-Q3; projected through 2028-Q4.</x:v>
      </x:c>
      <x:c r="F3" s="6" t="str">
        <x:v>One score: the share of the 50%-of-U.S.-population threshold that operational American compute can support. Observed through 2026-Q3; projected through 2028-Q4.</x:v>
      </x:c>
      <x:c r="G3" s="6" t="str">
        <x:v>One score: the share of the 50%-of-U.S.-population threshold that operational American compute can support. Observed through 2026-Q3; projected through 2028-Q4.</x:v>
      </x:c>
      <x:c r="H3" s="6" t="str">
        <x:v>One score: the share of the 50%-of-U.S.-population threshold that operational American compute can support. Observed through 2026-Q3; projected through 2028-Q4.</x:v>
      </x:c>
      <x:c r="I3" s="6" t="str">
        <x:v>One score: the share of the 50%-of-U.S.-population threshold that operational American compute can support. Observed through 2026-Q3; projected through 2028-Q4.</x:v>
      </x:c>
      <x:c r="J3" s="6" t="str">
        <x:v>One score: the share of the 50%-of-U.S.-population threshold that operational American compute can support. Observed through 2026-Q3; projected through 2028-Q4.</x:v>
      </x:c>
      <x:c r="K3" s="6" t="str">
        <x:v>One score: the share of the 50%-of-U.S.-population threshold that operational American compute can support. Observed through 2026-Q3; projected through 2028-Q4.</x:v>
      </x:c>
      <x:c r="L3" s="6" t="str">
        <x:v>One score: the share of the 50%-of-U.S.-population threshold that operational American compute can support. Observed through 2026-Q3; projected through 2028-Q4.</x:v>
      </x:c>
      <x:c r="M3" s="6" t="str">
        <x:v>One score: the share of the 50%-of-U.S.-population threshold that operational American compute can support. Observed through 2026-Q3; projected through 2028-Q4.</x:v>
      </x:c>
      <x:c r="N3" s="6" t="str">
        <x:v>One score: the share of the 50%-of-U.S.-population threshold that operational American compute can support. Observed through 2026-Q3; projected through 2028-Q4.</x:v>
      </x:c>
      <x:c r="O3" s="6" t="str">
        <x:v>One score: the share of the 50%-of-U.S.-population threshold that operational American compute can support. Observed through 2026-Q3; projected through 2028-Q4.</x:v>
      </x:c>
      <x:c r="P3" s="6" t="str">
        <x:v>One score: the share of the 50%-of-U.S.-population threshold that operational American compute can support. Observed through 2026-Q3; projected through 2028-Q4.</x:v>
      </x:c>
      <x:c r="Q3" s="6" t="str">
        <x:v>One score: the share of the 50%-of-U.S.-population threshold that operational American compute can support. Observed through 2026-Q3; projected through 2028-Q4.</x:v>
      </x:c>
      <x:c r="R3" s="6" t="str">
        <x:v>One score: the share of the 50%-of-U.S.-population threshold that operational American compute can support. Observed through 2026-Q3; projected through 2028-Q4.</x:v>
      </x:c>
      <x:c r="S3" s="6" t="str">
        <x:v>One score: the share of the 50%-of-U.S.-population threshold that operational American compute can support. Observed through 2026-Q3; projected through 2028-Q4.</x:v>
      </x:c>
      <x:c r="T3" s="6" t="str">
        <x:v>One score: the share of the 50%-of-U.S.-population threshold that operational American compute can support. Observed through 2026-Q3; projected through 2028-Q4.</x:v>
      </x:c>
      <x:c r="U3" s="6" t="str">
        <x:v>One score: the share of the 50%-of-U.S.-population threshold that operational American compute can support. Observed through 2026-Q3; projected through 2028-Q4.</x:v>
      </x:c>
      <x:c r="V3" s="6" t="str">
        <x:v>One score: the share of the 50%-of-U.S.-population threshold that operational American compute can support. Observed through 2026-Q3; projected through 2028-Q4.</x:v>
      </x:c>
      <x:c r="W3" s="6" t="str">
        <x:v>One score: the share of the 50%-of-U.S.-population threshold that operational American compute can support. Observed through 2026-Q3; projected through 2028-Q4.</x:v>
      </x:c>
      <x:c r="X3" s="6" t="str">
        <x:v>One score: the share of the 50%-of-U.S.-population threshold that operational American compute can support. Observed through 2026-Q3; projected through 2028-Q4.</x:v>
      </x:c>
      <x:c r="Y3" s="6" t="str">
        <x:v>One score: the share of the 50%-of-U.S.-population threshold that operational American compute can support. Observed through 2026-Q3; projected through 2028-Q4.</x:v>
      </x:c>
      <x:c r="Z3" s="6" t="str">
        <x:v>One score: the share of the 50%-of-U.S.-population threshold that operational American compute can support. Observed through 2026-Q3; projected through 2028-Q4.</x:v>
      </x:c>
      <x:c r="AA3" s="6" t="str">
        <x:v>One score: the share of the 50%-of-U.S.-population threshold that operational American compute can support. Observed through 2026-Q3; projected through 2028-Q4.</x:v>
      </x:c>
      <x:c r="AB3" s="6" t="str">
        <x:v>One score: the share of the 50%-of-U.S.-population threshold that operational American compute can support. Observed through 2026-Q3; projected through 2028-Q4.</x:v>
      </x:c>
      <x:c r="AC3" s="6" t="str">
        <x:v>One score: the share of the 50%-of-U.S.-population threshold that operational American compute can support. Observed through 2026-Q3; projected through 2028-Q4.</x:v>
      </x:c>
      <x:c r="AD3" s="6" t="str">
        <x:v>One score: the share of the 50%-of-U.S.-population threshold that operational American compute can support. Observed through 2026-Q3; projected through 2028-Q4.</x:v>
      </x:c>
      <x:c r="AE3" s="6" t="str">
        <x:v>One score: the share of the 50%-of-U.S.-population threshold that operational American compute can support. Observed through 2026-Q3; projected through 2028-Q4.</x:v>
      </x:c>
      <x:c r="AF3" s="6" t="str">
        <x:v>One score: the share of the 50%-of-U.S.-population threshold that operational American compute can support. Observed through 2026-Q3; projected through 2028-Q4.</x:v>
      </x:c>
      <x:c r="AG3" s="6" t="str">
        <x:v>One score: the share of the 50%-of-U.S.-population threshold that operational American compute can support. Observed through 2026-Q3; projected through 2028-Q4.</x:v>
      </x:c>
      <x:c r="AH3" s="6" t="str">
        <x:v>One score: the share of the 50%-of-U.S.-population threshold that operational American compute can support. Observed through 2026-Q3; projected through 2028-Q4.</x:v>
      </x:c>
      <x:c r="AI3" s="6" t="str">
        <x:v>One score: the share of the 50%-of-U.S.-population threshold that operational American compute can support. Observed through 2026-Q3; projected through 2028-Q4.</x:v>
      </x:c>
      <x:c r="AJ3" s="6" t="str">
        <x:v>One score: the share of the 50%-of-U.S.-population threshold that operational American compute can support. Observed through 2026-Q3; projected through 2028-Q4.</x:v>
      </x:c>
      <x:c r="AK3" s="6" t="str">
        <x:v>One score: the share of the 50%-of-U.S.-population threshold that operational American compute can support. Observed through 2026-Q3; projected through 2028-Q4.</x:v>
      </x:c>
      <x:c r="AL3" s="6" t="str">
        <x:v>One score: the share of the 50%-of-U.S.-population threshold that operational American compute can support. Observed through 2026-Q3; projected through 2028-Q4.</x:v>
      </x:c>
      <x:c r="AM3" s="6" t="str">
        <x:v>One score: the share of the 50%-of-U.S.-population threshold that operational American compute can support. Observed through 2026-Q3; projected through 2028-Q4.</x:v>
      </x:c>
      <x:c r="AN3" s="6" t="str">
        <x:v>One score: the share of the 50%-of-U.S.-population threshold that operational American compute can support. Observed through 2026-Q3; projected through 2028-Q4.</x:v>
      </x:c>
      <x:c r="AO3" s="6" t="str">
        <x:v>One score: the share of the 50%-of-U.S.-population threshold that operational American compute can support. Observed through 2026-Q3; projected through 2028-Q4.</x:v>
      </x:c>
      <x:c r="AP3" s="6" t="str">
        <x:v>One score: the share of the 50%-of-U.S.-population threshold that operational American compute can support. Observed through 2026-Q3; projected through 2028-Q4.</x:v>
      </x:c>
      <x:c r="AQ3" s="6" t="str">
        <x:v>One score: the share of the 50%-of-U.S.-population threshold that operational American compute can support. Observed through 2026-Q3; projected through 2028-Q4.</x:v>
      </x:c>
      <x:c r="AR3" s="6" t="str">
        <x:v>One score: the share of the 50%-of-U.S.-population threshold that operational American compute can support. Observed through 2026-Q3; projected through 2028-Q4.</x:v>
      </x:c>
      <x:c r="AS3" s="6" t="str">
        <x:v>One score: the share of the 50%-of-U.S.-population threshold that operational American compute can support. Observed through 2026-Q3; projected through 2028-Q4.</x:v>
      </x:c>
      <x:c r="AT3" s="6" t="str">
        <x:v>One score: the share of the 50%-of-U.S.-population threshold that operational American compute can support. Observed through 2026-Q3; projected through 2028-Q4.</x:v>
      </x:c>
      <x:c r="AU3" s="6" t="str">
        <x:v>One score: the share of the 50%-of-U.S.-population threshold that operational American compute can support. Observed through 2026-Q3; projected through 2028-Q4.</x:v>
      </x:c>
      <x:c r="AV3" s="6" t="str">
        <x:v>One score: the share of the 50%-of-U.S.-population threshold that operational American compute can support. Observed through 2026-Q3; projected through 2028-Q4.</x:v>
      </x:c>
    </x:row>
    <x:row r="4" ht="34" hidden="0" customHeight="1">
      <x:c r="A4" s="13" t="str">
        <x:v>Benchmark</x:v>
      </x:c>
      <x:c r="B4" s="13" t="str">
        <x:v>Definition</x:v>
      </x:c>
      <x:c r="C4" s="13" t="str">
        <x:v>2024-Q1</x:v>
      </x:c>
      <x:c r="D4" s="13" t="str">
        <x:v>2024-Q1</x:v>
      </x:c>
      <x:c r="E4" s="13" t="str">
        <x:v>2024-Q2</x:v>
      </x:c>
      <x:c r="F4" s="13" t="str">
        <x:v>2024-Q2</x:v>
      </x:c>
      <x:c r="G4" s="13" t="str">
        <x:v>2024-Q3</x:v>
      </x:c>
      <x:c r="H4" s="13" t="str">
        <x:v>2024-Q3</x:v>
      </x:c>
      <x:c r="I4" s="13" t="str">
        <x:v>2024-Q4</x:v>
      </x:c>
      <x:c r="J4" s="13" t="str">
        <x:v>2024-Q4</x:v>
      </x:c>
      <x:c r="K4" s="13" t="str">
        <x:v>2025-Q1</x:v>
      </x:c>
      <x:c r="L4" s="13" t="str">
        <x:v>2025-Q1</x:v>
      </x:c>
      <x:c r="M4" s="13" t="str">
        <x:v>2025-Q2</x:v>
      </x:c>
      <x:c r="N4" s="13" t="str">
        <x:v>2025-Q2</x:v>
      </x:c>
      <x:c r="O4" s="13" t="str">
        <x:v>2025-Q3</x:v>
      </x:c>
      <x:c r="P4" s="13" t="str">
        <x:v>2025-Q3</x:v>
      </x:c>
      <x:c r="Q4" s="13" t="str">
        <x:v>2025-Q4</x:v>
      </x:c>
      <x:c r="R4" s="13" t="str">
        <x:v>2025-Q4</x:v>
      </x:c>
      <x:c r="S4" s="13" t="str">
        <x:v>2026-Q1</x:v>
      </x:c>
      <x:c r="T4" s="13" t="str">
        <x:v>2026-Q1</x:v>
      </x:c>
      <x:c r="U4" s="13" t="str">
        <x:v>2026-Q2</x:v>
      </x:c>
      <x:c r="V4" s="13" t="str">
        <x:v>2026-Q2</x:v>
      </x:c>
      <x:c r="W4" s="13" t="str">
        <x:v>2026-Q3</x:v>
      </x:c>
      <x:c r="X4" s="13" t="str">
        <x:v>2026-Q3</x:v>
      </x:c>
      <x:c r="Y4" s="35" t="str">
        <x:v>2026-Q4</x:v>
      </x:c>
      <x:c r="Z4" s="35" t="str">
        <x:v>2026-Q4</x:v>
      </x:c>
      <x:c r="AA4" s="35" t="str">
        <x:v>2027-Q1</x:v>
      </x:c>
      <x:c r="AB4" s="35" t="str">
        <x:v>2027-Q1</x:v>
      </x:c>
      <x:c r="AC4" s="35" t="str">
        <x:v>2027-Q2</x:v>
      </x:c>
      <x:c r="AD4" s="35" t="str">
        <x:v>2027-Q2</x:v>
      </x:c>
      <x:c r="AE4" s="35" t="str">
        <x:v>2027-Q3</x:v>
      </x:c>
      <x:c r="AF4" s="35" t="str">
        <x:v>2027-Q3</x:v>
      </x:c>
      <x:c r="AG4" s="35" t="str">
        <x:v>2027-Q4</x:v>
      </x:c>
      <x:c r="AH4" s="35" t="str">
        <x:v>2027-Q4</x:v>
      </x:c>
      <x:c r="AI4" s="35" t="str">
        <x:v>2028-Q1</x:v>
      </x:c>
      <x:c r="AJ4" s="35" t="str">
        <x:v>2028-Q1</x:v>
      </x:c>
      <x:c r="AK4" s="35" t="str">
        <x:v>2028-Q2</x:v>
      </x:c>
      <x:c r="AL4" s="35" t="str">
        <x:v>2028-Q2</x:v>
      </x:c>
      <x:c r="AM4" s="35" t="str">
        <x:v>2028-Q3</x:v>
      </x:c>
      <x:c r="AN4" s="35" t="str">
        <x:v>2028-Q3</x:v>
      </x:c>
      <x:c r="AO4" s="35" t="str">
        <x:v>2028-Q4</x:v>
      </x:c>
      <x:c r="AP4" s="35" t="str">
        <x:v>2028-Q4</x:v>
      </x:c>
      <x:c r="AQ4" s="13" t="str">
        <x:v>CURRENT STATUS &amp; CROSSING</x:v>
      </x:c>
      <x:c r="AR4" s="13" t="str">
        <x:v>CURRENT STATUS &amp; CROSSING</x:v>
      </x:c>
      <x:c r="AS4" s="13" t="str">
        <x:v>CURRENT STATUS &amp; CROSSING</x:v>
      </x:c>
      <x:c r="AT4" s="13" t="str">
        <x:v>CURRENT STATUS &amp; CROSSING</x:v>
      </x:c>
      <x:c r="AU4" s="13" t="str">
        <x:v>CURRENT STATUS &amp; CROSSING</x:v>
      </x:c>
      <x:c r="AV4" s="13" t="str">
        <x:v>CURRENT STATUS &amp; CROSSING</x:v>
      </x:c>
    </x:row>
    <x:row r="5" ht="34" hidden="0" customHeight="1">
      <x:c r="A5" s="13"/>
      <x:c r="B5" s="13"/>
      <x:c r="C5" s="13" t="str">
        <x:v>Score</x:v>
      </x:c>
      <x:c r="D5" s="13" t="str">
        <x:v>Rate</x:v>
      </x:c>
      <x:c r="E5" s="13" t="str">
        <x:v>Score</x:v>
      </x:c>
      <x:c r="F5" s="13" t="str">
        <x:v>Rate</x:v>
      </x:c>
      <x:c r="G5" s="13" t="str">
        <x:v>Score</x:v>
      </x:c>
      <x:c r="H5" s="13" t="str">
        <x:v>Rate</x:v>
      </x:c>
      <x:c r="I5" s="13" t="str">
        <x:v>Score</x:v>
      </x:c>
      <x:c r="J5" s="13" t="str">
        <x:v>Rate</x:v>
      </x:c>
      <x:c r="K5" s="13" t="str">
        <x:v>Score</x:v>
      </x:c>
      <x:c r="L5" s="13" t="str">
        <x:v>Rate</x:v>
      </x:c>
      <x:c r="M5" s="13" t="str">
        <x:v>Score</x:v>
      </x:c>
      <x:c r="N5" s="13" t="str">
        <x:v>Rate</x:v>
      </x:c>
      <x:c r="O5" s="13" t="str">
        <x:v>Score</x:v>
      </x:c>
      <x:c r="P5" s="13" t="str">
        <x:v>Rate</x:v>
      </x:c>
      <x:c r="Q5" s="13" t="str">
        <x:v>Score</x:v>
      </x:c>
      <x:c r="R5" s="13" t="str">
        <x:v>Rate</x:v>
      </x:c>
      <x:c r="S5" s="13" t="str">
        <x:v>Score</x:v>
      </x:c>
      <x:c r="T5" s="13" t="str">
        <x:v>Rate</x:v>
      </x:c>
      <x:c r="U5" s="13" t="str">
        <x:v>Score</x:v>
      </x:c>
      <x:c r="V5" s="13" t="str">
        <x:v>Rate</x:v>
      </x:c>
      <x:c r="W5" s="13" t="str">
        <x:v>Score</x:v>
      </x:c>
      <x:c r="X5" s="13" t="str">
        <x:v>Rate</x:v>
      </x:c>
      <x:c r="Y5" s="35" t="str">
        <x:v>Score</x:v>
      </x:c>
      <x:c r="Z5" s="35" t="str">
        <x:v>Rate</x:v>
      </x:c>
      <x:c r="AA5" s="35" t="str">
        <x:v>Score</x:v>
      </x:c>
      <x:c r="AB5" s="35" t="str">
        <x:v>Rate</x:v>
      </x:c>
      <x:c r="AC5" s="35" t="str">
        <x:v>Score</x:v>
      </x:c>
      <x:c r="AD5" s="35" t="str">
        <x:v>Rate</x:v>
      </x:c>
      <x:c r="AE5" s="35" t="str">
        <x:v>Score</x:v>
      </x:c>
      <x:c r="AF5" s="35" t="str">
        <x:v>Rate</x:v>
      </x:c>
      <x:c r="AG5" s="35" t="str">
        <x:v>Score</x:v>
      </x:c>
      <x:c r="AH5" s="35" t="str">
        <x:v>Rate</x:v>
      </x:c>
      <x:c r="AI5" s="35" t="str">
        <x:v>Score</x:v>
      </x:c>
      <x:c r="AJ5" s="35" t="str">
        <x:v>Rate</x:v>
      </x:c>
      <x:c r="AK5" s="35" t="str">
        <x:v>Score</x:v>
      </x:c>
      <x:c r="AL5" s="35" t="str">
        <x:v>Rate</x:v>
      </x:c>
      <x:c r="AM5" s="35" t="str">
        <x:v>Score</x:v>
      </x:c>
      <x:c r="AN5" s="35" t="str">
        <x:v>Rate</x:v>
      </x:c>
      <x:c r="AO5" s="35" t="str">
        <x:v>Score</x:v>
      </x:c>
      <x:c r="AP5" s="35" t="str">
        <x:v>Rate</x:v>
      </x:c>
      <x:c r="AQ5" s="13" t="str">
        <x:v>Current score</x:v>
      </x:c>
      <x:c r="AR5" s="13" t="str">
        <x:v>Letter</x:v>
      </x:c>
      <x:c r="AS5" s="13" t="str">
        <x:v>GPA</x:v>
      </x:c>
      <x:c r="AT5" s="13" t="str">
        <x:v>Supply crossing</x:v>
      </x:c>
      <x:c r="AU5" s="13" t="str">
        <x:v>Velocity</x:v>
      </x:c>
      <x:c r="AV5" s="13" t="str">
        <x:v>Acceleration</x:v>
      </x:c>
    </x:row>
    <x:row r="6" ht="54" hidden="0" customHeight="1">
      <x:c r="A6" s="17" t="str">
        <x:v>U.S. high-autonomy population coverage</x:v>
      </x:c>
      <x:c r="B6" s="17" t="str">
        <x:v>Supported high-autonomy users ÷ 50% of U.S. resident population; capped at 100%</x:v>
      </x:c>
      <x:c r="C6" s="45" t="n">
        <x:f>'Quarterly Model'!J6</x:f>
        <x:v>0.00682782226716592</x:v>
      </x:c>
      <x:c r="D6" s="45" t="str">
        <x:f>'Quarterly Model'!K6</x:f>
      </x:c>
      <x:c r="E6" s="45" t="n">
        <x:f>'Quarterly Model'!J7</x:f>
        <x:v>0.01320844974682248</x:v>
      </x:c>
      <x:c r="F6" s="45" t="n">
        <x:f>'Quarterly Model'!K7</x:f>
        <x:v>0.006380627479656559</x:v>
      </x:c>
      <x:c r="G6" s="45" t="n">
        <x:f>'Quarterly Model'!J8</x:f>
        <x:v>0.020071791898291506</x:v>
      </x:c>
      <x:c r="H6" s="45" t="n">
        <x:f>'Quarterly Model'!K8</x:f>
        <x:v>0.006863342151469026</x:v>
      </x:c>
      <x:c r="I6" s="45" t="n">
        <x:f>'Quarterly Model'!J9</x:f>
        <x:v>0.02814028092242638</x:v>
      </x:c>
      <x:c r="J6" s="45" t="n">
        <x:f>'Quarterly Model'!K9</x:f>
        <x:v>0.008068489024134873</x:v>
      </x:c>
      <x:c r="K6" s="45" t="n">
        <x:f>'Quarterly Model'!J10</x:f>
        <x:v>0.037555468283042195</x:v>
      </x:c>
      <x:c r="L6" s="45" t="n">
        <x:f>'Quarterly Model'!K10</x:f>
        <x:v>0.009415187360615817</x:v>
      </x:c>
      <x:c r="M6" s="45" t="n">
        <x:f>'Quarterly Model'!J11</x:f>
        <x:v>0.06633924833009283</x:v>
      </x:c>
      <x:c r="N6" s="45" t="n">
        <x:f>'Quarterly Model'!K11</x:f>
        <x:v>0.028783780047050636</x:v>
      </x:c>
      <x:c r="O6" s="45" t="n">
        <x:f>'Quarterly Model'!J12</x:f>
        <x:v>0.08726162750476324</x:v>
      </x:c>
      <x:c r="P6" s="45" t="n">
        <x:f>'Quarterly Model'!K12</x:f>
        <x:v>0.020922379174670408</x:v>
      </x:c>
      <x:c r="Q6" s="45" t="n">
        <x:f>'Quarterly Model'!J13</x:f>
        <x:v>0.14706496698305438</x:v>
      </x:c>
      <x:c r="R6" s="45" t="n">
        <x:f>'Quarterly Model'!K13</x:f>
        <x:v>0.05980333947829114</x:v>
      </x:c>
      <x:c r="S6" s="45" t="n">
        <x:f>'Quarterly Model'!J14</x:f>
        <x:v>0.17513398579018094</x:v>
      </x:c>
      <x:c r="T6" s="45" t="n">
        <x:f>'Quarterly Model'!K14</x:f>
        <x:v>0.02806901880712656</x:v>
      </x:c>
      <x:c r="U6" s="45" t="n">
        <x:f>'Quarterly Model'!J15</x:f>
        <x:v>0.31194838109141576</x:v>
      </x:c>
      <x:c r="V6" s="45" t="n">
        <x:f>'Quarterly Model'!K15</x:f>
        <x:v>0.13681439530123482</x:v>
      </x:c>
      <x:c r="W6" s="45" t="n">
        <x:f>'Quarterly Model'!J16</x:f>
        <x:v>0.37587725229616675</x:v>
      </x:c>
      <x:c r="X6" s="45" t="n">
        <x:f>'Quarterly Model'!K16</x:f>
        <x:v>0.06392887120475099</x:v>
      </x:c>
      <x:c r="Y6" s="33" t="n">
        <x:f>'Quarterly Model'!J17</x:f>
        <x:v>0.5038169880198742</x:v>
      </x:c>
      <x:c r="Z6" s="33" t="n">
        <x:f>'Quarterly Model'!K17</x:f>
        <x:v>0.12793973572370743</x:v>
      </x:c>
      <x:c r="AA6" s="33" t="n">
        <x:f>'Quarterly Model'!J18</x:f>
        <x:v>0.660890709854224</x:v>
      </x:c>
      <x:c r="AB6" s="33" t="n">
        <x:f>'Quarterly Model'!K18</x:f>
        <x:v>0.15707372183434987</x:v>
      </x:c>
      <x:c r="AC6" s="33" t="n">
        <x:f>'Quarterly Model'!J19</x:f>
        <x:v>0.8484310673527545</x:v>
      </x:c>
      <x:c r="AD6" s="33" t="n">
        <x:f>'Quarterly Model'!K19</x:f>
        <x:v>0.18754035749853049</x:v>
      </x:c>
      <x:c r="AE6" s="33" t="n">
        <x:f>'Quarterly Model'!J20</x:f>
        <x:v>1</x:v>
      </x:c>
      <x:c r="AF6" s="33" t="n">
        <x:f>'Quarterly Model'!K20</x:f>
        <x:v>0.15156893264724547</x:v>
      </x:c>
      <x:c r="AG6" s="33" t="n">
        <x:f>'Quarterly Model'!J21</x:f>
        <x:v>1</x:v>
      </x:c>
      <x:c r="AH6" s="33" t="n">
        <x:f>'Quarterly Model'!K21</x:f>
        <x:v>0</x:v>
      </x:c>
      <x:c r="AI6" s="33" t="n">
        <x:f>'Quarterly Model'!J22</x:f>
        <x:v>1</x:v>
      </x:c>
      <x:c r="AJ6" s="33" t="n">
        <x:f>'Quarterly Model'!K22</x:f>
        <x:v>0</x:v>
      </x:c>
      <x:c r="AK6" s="33" t="n">
        <x:f>'Quarterly Model'!J23</x:f>
        <x:v>1</x:v>
      </x:c>
      <x:c r="AL6" s="33" t="n">
        <x:f>'Quarterly Model'!K23</x:f>
        <x:v>0</x:v>
      </x:c>
      <x:c r="AM6" s="33" t="n">
        <x:f>'Quarterly Model'!J24</x:f>
        <x:v>1</x:v>
      </x:c>
      <x:c r="AN6" s="33" t="n">
        <x:f>'Quarterly Model'!K24</x:f>
        <x:v>0</x:v>
      </x:c>
      <x:c r="AO6" s="33" t="n">
        <x:f>'Quarterly Model'!J25</x:f>
        <x:v>1</x:v>
      </x:c>
      <x:c r="AP6" s="33" t="n">
        <x:f>'Quarterly Model'!K25</x:f>
        <x:v>0</x:v>
      </x:c>
      <x:c r="AQ6" s="29" t="n">
        <x:f>'Quarterly Model'!J16</x:f>
        <x:v>0.37587725229616675</x:v>
      </x:c>
      <x:c r="AR6" s="29" t="str">
        <x:f>'Quarterly Model'!L16</x:f>
        <x:v>F</x:v>
      </x:c>
      <x:c r="AS6" s="22" t="n">
        <x:f>'Quarterly Model'!M16</x:f>
        <x:v>0</x:v>
      </x:c>
      <x:c r="AT6" s="20" t="n">
        <x:f>'Assumptions'!B32</x:f>
        <x:v>46632.108708204854</x:v>
      </x:c>
      <x:c r="AU6" s="27" t="n">
        <x:f>'Assumptions'!B30</x:f>
        <x:v>0.4382012678196282</x:v>
      </x:c>
      <x:c r="AV6" s="27" t="n">
        <x:f>'Assumptions'!B28</x:f>
        <x:v>-0.03112621365907439</x:v>
      </x:c>
    </x:row>
  </x:sheetData>
  <x:mergeCells>
    <x:mergeCell ref="A1:AV2"/>
    <x:mergeCell ref="A3:AV3"/>
    <x:mergeCell ref="A4:A5"/>
    <x:mergeCell ref="B4:B5"/>
    <x:mergeCell ref="C4:D4"/>
    <x:mergeCell ref="E4:F4"/>
    <x:mergeCell ref="G4:H4"/>
    <x:mergeCell ref="I4:J4"/>
    <x:mergeCell ref="K4:L4"/>
    <x:mergeCell ref="M4:N4"/>
    <x:mergeCell ref="O4:P4"/>
    <x:mergeCell ref="Q4:R4"/>
    <x:mergeCell ref="S4:T4"/>
    <x:mergeCell ref="U4:V4"/>
    <x:mergeCell ref="W4:X4"/>
    <x:mergeCell ref="Y4:Z4"/>
    <x:mergeCell ref="AA4:AB4"/>
    <x:mergeCell ref="AC4:AD4"/>
    <x:mergeCell ref="AE4:AF4"/>
    <x:mergeCell ref="AG4:AH4"/>
    <x:mergeCell ref="AI4:AJ4"/>
    <x:mergeCell ref="AK4:AL4"/>
    <x:mergeCell ref="AM4:AN4"/>
    <x:mergeCell ref="AO4:AP4"/>
    <x:mergeCell ref="AQ4:AV4"/>
  </x:mergeCells>
  <x:conditionalFormatting sqref="AR6:AR6">
    <x:cfRule type="expression" dxfId="0" priority="1">
      <x:formula>AR6="F"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21" hidden="0" customWidth="1"/>
    <x:col min="9" max="9" width="18" hidden="0" customWidth="1"/>
    <x:col min="10" max="10" width="17" hidden="0" customWidth="1"/>
    <x:col min="11" max="11" width="12" hidden="0" customWidth="1"/>
    <x:col min="12" max="12" width="9" hidden="0" customWidth="1"/>
    <x:col min="13" max="13" width="8" hidden="0" customWidth="1"/>
  </x:cols>
  <x:sheetData>
    <x:row r="1" ht="28" customHeight="1">
      <x:c r="A1" s="3" t="str">
        <x:v>U.S. Compute Capacity — Observed and Projected</x:v>
      </x:c>
      <x:c r="B1" s="3" t="str">
        <x:v>U.S. Compute Capacity — Observed and Projected</x:v>
      </x:c>
      <x:c r="C1" s="3" t="str">
        <x:v>U.S. Compute Capacity — Observed and Projected</x:v>
      </x:c>
      <x:c r="D1" s="3" t="str">
        <x:v>U.S. Compute Capacity — Observed and Projected</x:v>
      </x:c>
      <x:c r="E1" s="3" t="str">
        <x:v>U.S. Compute Capacity — Observed and Projected</x:v>
      </x:c>
      <x:c r="F1" s="3" t="str">
        <x:v>U.S. Compute Capacity — Observed and Projected</x:v>
      </x:c>
      <x:c r="G1" s="3" t="str">
        <x:v>U.S. Compute Capacity — Observed and Projected</x:v>
      </x:c>
      <x:c r="H1" s="3" t="str">
        <x:v>U.S. Compute Capacity — Observed and Projected</x:v>
      </x:c>
      <x:c r="I1" s="3" t="str">
        <x:v>U.S. Compute Capacity — Observed and Projected</x:v>
      </x:c>
      <x:c r="J1" s="3" t="str">
        <x:v>U.S. Compute Capacity — Observed and Projected</x:v>
      </x:c>
      <x:c r="K1" s="3" t="str">
        <x:v>U.S. Compute Capacity — Observed and Projected</x:v>
      </x:c>
      <x:c r="L1" s="3" t="str">
        <x:v>U.S. Compute Capacity — Observed and Projected</x:v>
      </x:c>
      <x:c r="M1" s="3" t="str">
        <x:v>U.S. Compute Capacity — Observed and Projected</x:v>
      </x:c>
    </x:row>
    <x:row r="2" ht="28" customHeight="1">
      <x:c r="A2" s="3" t="str">
        <x:v>U.S. Compute Capacity — Observed and Projected</x:v>
      </x:c>
      <x:c r="B2" s="3" t="str">
        <x:v>U.S. Compute Capacity — Observed and Projected</x:v>
      </x:c>
      <x:c r="C2" s="3" t="str">
        <x:v>U.S. Compute Capacity — Observed and Projected</x:v>
      </x:c>
      <x:c r="D2" s="3" t="str">
        <x:v>U.S. Compute Capacity — Observed and Projected</x:v>
      </x:c>
      <x:c r="E2" s="3" t="str">
        <x:v>U.S. Compute Capacity — Observed and Projected</x:v>
      </x:c>
      <x:c r="F2" s="3" t="str">
        <x:v>U.S. Compute Capacity — Observed and Projected</x:v>
      </x:c>
      <x:c r="G2" s="3" t="str">
        <x:v>U.S. Compute Capacity — Observed and Projected</x:v>
      </x:c>
      <x:c r="H2" s="3" t="str">
        <x:v>U.S. Compute Capacity — Observed and Projected</x:v>
      </x:c>
      <x:c r="I2" s="3" t="str">
        <x:v>U.S. Compute Capacity — Observed and Projected</x:v>
      </x:c>
      <x:c r="J2" s="3" t="str">
        <x:v>U.S. Compute Capacity — Observed and Projected</x:v>
      </x:c>
      <x:c r="K2" s="3" t="str">
        <x:v>U.S. Compute Capacity — Observed and Projected</x:v>
      </x:c>
      <x:c r="L2" s="3" t="str">
        <x:v>U.S. Compute Capacity — Observed and Projected</x:v>
      </x:c>
      <x:c r="M2" s="3" t="str">
        <x:v>U.S. Compute Capacity — Observed and Projected</x:v>
      </x:c>
    </x:row>
    <x:row r="3" ht="15" hidden="0" customHeight="1">
      <x:c r="A3" s="6" t="str">
        <x:v>Observed capacity through 2026-Q3; later quarters extrapolate the smoothed quarterly log-growth velocity and acceleration. Score is supported users ÷ 50% U.S. population, capped at 100%.</x:v>
      </x:c>
      <x:c r="B3" s="6" t="str">
        <x:v>Observed capacity through 2026-Q3; later quarters extrapolate the smoothed quarterly log-growth velocity and acceleration. Score is supported users ÷ 50% U.S. population, capped at 100%.</x:v>
      </x:c>
      <x:c r="C3" s="6" t="str">
        <x:v>Observed capacity through 2026-Q3; later quarters extrapolate the smoothed quarterly log-growth velocity and acceleration. Score is supported users ÷ 50% U.S. population, capped at 100%.</x:v>
      </x:c>
      <x:c r="D3" s="6" t="str">
        <x:v>Observed capacity through 2026-Q3; later quarters extrapolate the smoothed quarterly log-growth velocity and acceleration. Score is supported users ÷ 50% U.S. population, capped at 100%.</x:v>
      </x:c>
      <x:c r="E3" s="6" t="str">
        <x:v>Observed capacity through 2026-Q3; later quarters extrapolate the smoothed quarterly log-growth velocity and acceleration. Score is supported users ÷ 50% U.S. population, capped at 100%.</x:v>
      </x:c>
      <x:c r="F3" s="6" t="str">
        <x:v>Observed capacity through 2026-Q3; later quarters extrapolate the smoothed quarterly log-growth velocity and acceleration. Score is supported users ÷ 50% U.S. population, capped at 100%.</x:v>
      </x:c>
      <x:c r="G3" s="6" t="str">
        <x:v>Observed capacity through 2026-Q3; later quarters extrapolate the smoothed quarterly log-growth velocity and acceleration. Score is supported users ÷ 50% U.S. population, capped at 100%.</x:v>
      </x:c>
      <x:c r="H3" s="6" t="str">
        <x:v>Observed capacity through 2026-Q3; later quarters extrapolate the smoothed quarterly log-growth velocity and acceleration. Score is supported users ÷ 50% U.S. population, capped at 100%.</x:v>
      </x:c>
      <x:c r="I3" s="6" t="str">
        <x:v>Observed capacity through 2026-Q3; later quarters extrapolate the smoothed quarterly log-growth velocity and acceleration. Score is supported users ÷ 50% U.S. population, capped at 100%.</x:v>
      </x:c>
      <x:c r="J3" s="6" t="str">
        <x:v>Observed capacity through 2026-Q3; later quarters extrapolate the smoothed quarterly log-growth velocity and acceleration. Score is supported users ÷ 50% U.S. population, capped at 100%.</x:v>
      </x:c>
      <x:c r="K3" s="6" t="str">
        <x:v>Observed capacity through 2026-Q3; later quarters extrapolate the smoothed quarterly log-growth velocity and acceleration. Score is supported users ÷ 50% U.S. population, capped at 100%.</x:v>
      </x:c>
      <x:c r="L3" s="6" t="str">
        <x:v>Observed capacity through 2026-Q3; later quarters extrapolate the smoothed quarterly log-growth velocity and acceleration. Score is supported users ÷ 50% U.S. population, capped at 100%.</x:v>
      </x:c>
      <x:c r="M3" s="6" t="str">
        <x:v>Observed capacity through 2026-Q3; later quarters extrapolate the smoothed quarterly log-growth velocity and acceleration. Score is supported users ÷ 50% U.S. population, capped at 100%.</x:v>
      </x:c>
    </x:row>
    <x:row r="4"/>
    <x:row r="5" ht="42" hidden="0" customHeight="1">
      <x:c r="A5" s="13" t="str">
        <x:v>Quarter index</x:v>
      </x:c>
      <x:c r="B5" s="13" t="str">
        <x:v>Quarter</x:v>
      </x:c>
      <x:c r="C5" s="13" t="str">
        <x:v>Cutoff</x:v>
      </x:c>
      <x:c r="D5" s="13" t="str">
        <x:v>Phase</x:v>
      </x:c>
      <x:c r="E5" s="13" t="str">
        <x:v>U.S. H100e</x:v>
      </x:c>
      <x:c r="F5" s="13" t="str">
        <x:v>log2 H100e</x:v>
      </x:c>
      <x:c r="G5" s="13" t="str">
        <x:v>Log growth / qtr</x:v>
      </x:c>
      <x:c r="H5" s="13" t="str">
        <x:v>Compute-eq tokens/day</x:v>
      </x:c>
      <x:c r="I5" s="13" t="str">
        <x:v>Supported users</x:v>
      </x:c>
      <x:c r="J5" s="13" t="str">
        <x:v>Score vs threshold</x:v>
      </x:c>
      <x:c r="K5" s="13" t="str">
        <x:v>Rate</x:v>
      </x:c>
      <x:c r="L5" s="13" t="str">
        <x:v>Letter</x:v>
      </x:c>
      <x:c r="M5" s="13" t="str">
        <x:v>GPA</x:v>
      </x:c>
    </x:row>
    <x:row r="6" ht="15" hidden="0" customHeight="1">
      <x:c r="A6" s="17" t="n">
        <x:v>1</x:v>
      </x:c>
      <x:c r="B6" s="17" t="str">
        <x:v>2024-Q1</x:v>
      </x:c>
      <x:c r="C6" s="20" t="n">
        <x:v>45382</x:v>
      </x:c>
      <x:c r="D6" s="17" t="str">
        <x:v>Observed</x:v>
      </x:c>
      <x:c r="E6" s="18" t="n">
        <x:f>SUMIFS('Observations'!$D$6:$D$16,'Observations'!$A$6:$A$16,A6)</x:f>
        <x:v>245664</x:v>
      </x:c>
      <x:c r="F6" s="27" t="n">
        <x:f>LN(E6)/LN(2)</x:f>
        <x:v>17.906326932760603</x:v>
      </x:c>
      <x:c r="G6" s="27" t="str">
        <x:f>""</x:f>
      </x:c>
      <x:c r="H6" s="28" t="n">
        <x:f>E6*'Assumptions'!$B$24</x:f>
        <x:v>19602336337920</x:v>
      </x:c>
      <x:c r="I6" s="18" t="n">
        <x:f>H6/'Assumptions'!$I$11</x:f>
        <x:v>1170288.7365922388</x:v>
      </x:c>
      <x:c r="J6" s="29" t="n">
        <x:f>MIN(1,I6/'Assumptions'!$B$9)</x:f>
        <x:v>0.00682782226716592</x:v>
      </x:c>
      <x:c r="K6" s="29" t="str">
        <x:f>""</x:f>
      </x:c>
      <x:c r="L6" s="17" t="str">
        <x:f>IF(J6&gt;='Assumptions'!$G$16,"A",IF(J6&gt;='Assumptions'!$G$17,"B",IF(J6&gt;='Assumptions'!$G$18,"C",IF(J6&gt;='Assumptions'!$G$19,"D","F"))))</x:f>
        <x:v>F</x:v>
      </x:c>
      <x:c r="M6" s="22" t="n">
        <x:f>IF(J6&gt;='Assumptions'!$G$16,'Assumptions'!$H$16,IF(J6&gt;='Assumptions'!$G$17,'Assumptions'!$H$17,IF(J6&gt;='Assumptions'!$G$18,'Assumptions'!$H$18,IF(J6&gt;='Assumptions'!$G$19,'Assumptions'!$H$19,'Assumptions'!$H$20))))</x:f>
        <x:v>0</x:v>
      </x:c>
    </x:row>
    <x:row r="7" ht="15" hidden="0" customHeight="1">
      <x:c r="A7" s="17" t="n">
        <x:v>2</x:v>
      </x:c>
      <x:c r="B7" s="17" t="str">
        <x:v>2024-Q2</x:v>
      </x:c>
      <x:c r="C7" s="20" t="n">
        <x:v>45473</x:v>
      </x:c>
      <x:c r="D7" s="17" t="str">
        <x:v>Observed</x:v>
      </x:c>
      <x:c r="E7" s="18" t="n">
        <x:f>SUMIFS('Observations'!$D$6:$D$16,'Observations'!$A$6:$A$16,A7)</x:f>
        <x:v>475238</x:v>
      </x:c>
      <x:c r="F7" s="27" t="n">
        <x:f>LN(E7)/LN(2)</x:f>
        <x:v>18.858290672990677</x:v>
      </x:c>
      <x:c r="G7" s="27" t="n">
        <x:f>F7-F6</x:f>
        <x:v>0.9519637402300738</x:v>
      </x:c>
      <x:c r="H7" s="28" t="n">
        <x:f>E7*'Assumptions'!$B$24</x:f>
        <x:v>37920798800640</x:v>
      </x:c>
      <x:c r="I7" s="18" t="n">
        <x:f>H7/'Assumptions'!$I$11</x:f>
        <x:v>2263928.286605373</x:v>
      </x:c>
      <x:c r="J7" s="29" t="n">
        <x:f>MIN(1,I7/'Assumptions'!$B$9)</x:f>
        <x:v>0.01320844974682248</x:v>
      </x:c>
      <x:c r="K7" s="29" t="n">
        <x:f>J7-J6</x:f>
        <x:v>0.006380627479656559</x:v>
      </x:c>
      <x:c r="L7" s="17" t="str">
        <x:f>IF(J7&gt;='Assumptions'!$G$16,"A",IF(J7&gt;='Assumptions'!$G$17,"B",IF(J7&gt;='Assumptions'!$G$18,"C",IF(J7&gt;='Assumptions'!$G$19,"D","F"))))</x:f>
        <x:v>F</x:v>
      </x:c>
      <x:c r="M7" s="22" t="n">
        <x:f>IF(J7&gt;='Assumptions'!$G$16,'Assumptions'!$H$16,IF(J7&gt;='Assumptions'!$G$17,'Assumptions'!$H$17,IF(J7&gt;='Assumptions'!$G$18,'Assumptions'!$H$18,IF(J7&gt;='Assumptions'!$G$19,'Assumptions'!$H$19,'Assumptions'!$H$20))))</x:f>
        <x:v>0</x:v>
      </x:c>
    </x:row>
    <x:row r="8" ht="15" hidden="0" customHeight="1">
      <x:c r="A8" s="17" t="n">
        <x:v>3</x:v>
      </x:c>
      <x:c r="B8" s="17" t="str">
        <x:v>2024-Q3</x:v>
      </x:c>
      <x:c r="C8" s="20" t="n">
        <x:v>45565</x:v>
      </x:c>
      <x:c r="D8" s="17" t="str">
        <x:v>Observed</x:v>
      </x:c>
      <x:c r="E8" s="18" t="n">
        <x:f>SUMIFS('Observations'!$D$6:$D$16,'Observations'!$A$6:$A$16,A8)</x:f>
        <x:v>722180</x:v>
      </x:c>
      <x:c r="F8" s="27" t="n">
        <x:f>LN(E8)/LN(2)</x:f>
        <x:v>19.46199894138585</x:v>
      </x:c>
      <x:c r="G8" s="27" t="n">
        <x:f>F8-F7</x:f>
        <x:v>0.6037082683951738</x:v>
      </x:c>
      <x:c r="H8" s="28" t="n">
        <x:f>E8*'Assumptions'!$B$24</x:f>
        <x:v>57625110950400</x:v>
      </x:c>
      <x:c r="I8" s="18" t="n">
        <x:f>H8/'Assumptions'!$I$11</x:f>
        <x:v>3440305.131367164</x:v>
      </x:c>
      <x:c r="J8" s="29" t="n">
        <x:f>MIN(1,I8/'Assumptions'!$B$9)</x:f>
        <x:v>0.020071791898291506</x:v>
      </x:c>
      <x:c r="K8" s="29" t="n">
        <x:f>J8-J7</x:f>
        <x:v>0.006863342151469026</x:v>
      </x:c>
      <x:c r="L8" s="17" t="str">
        <x:f>IF(J8&gt;='Assumptions'!$G$16,"A",IF(J8&gt;='Assumptions'!$G$17,"B",IF(J8&gt;='Assumptions'!$G$18,"C",IF(J8&gt;='Assumptions'!$G$19,"D","F"))))</x:f>
        <x:v>F</x:v>
      </x:c>
      <x:c r="M8" s="22" t="n">
        <x:f>IF(J8&gt;='Assumptions'!$G$16,'Assumptions'!$H$16,IF(J8&gt;='Assumptions'!$G$17,'Assumptions'!$H$17,IF(J8&gt;='Assumptions'!$G$18,'Assumptions'!$H$18,IF(J8&gt;='Assumptions'!$G$19,'Assumptions'!$H$19,'Assumptions'!$H$20))))</x:f>
        <x:v>0</x:v>
      </x:c>
    </x:row>
    <x:row r="9" ht="15" hidden="0" customHeight="1">
      <x:c r="A9" s="17" t="n">
        <x:v>4</x:v>
      </x:c>
      <x:c r="B9" s="17" t="str">
        <x:v>2024-Q4</x:v>
      </x:c>
      <x:c r="C9" s="20" t="n">
        <x:v>45657</x:v>
      </x:c>
      <x:c r="D9" s="17" t="str">
        <x:v>Observed</x:v>
      </x:c>
      <x:c r="E9" s="18" t="n">
        <x:f>SUMIFS('Observations'!$D$6:$D$16,'Observations'!$A$6:$A$16,A9)</x:f>
        <x:v>1012483</x:v>
      </x:c>
      <x:c r="F9" s="27" t="n">
        <x:f>LN(E9)/LN(2)</x:f>
        <x:v>19.949466254090233</x:v>
      </x:c>
      <x:c r="G9" s="27" t="n">
        <x:f>F9-F8</x:f>
        <x:v>0.48746731270438204</x:v>
      </x:c>
      <x:c r="H9" s="28" t="n">
        <x:f>E9*'Assumptions'!$B$24</x:f>
        <x:v>80789339514240</x:v>
      </x:c>
      <x:c r="I9" s="18" t="n">
        <x:f>H9/'Assumptions'!$I$11</x:f>
        <x:v>4823244.150103881</x:v>
      </x:c>
      <x:c r="J9" s="29" t="n">
        <x:f>MIN(1,I9/'Assumptions'!$B$9)</x:f>
        <x:v>0.02814028092242638</x:v>
      </x:c>
      <x:c r="K9" s="29" t="n">
        <x:f>J9-J8</x:f>
        <x:v>0.008068489024134873</x:v>
      </x:c>
      <x:c r="L9" s="17" t="str">
        <x:f>IF(J9&gt;='Assumptions'!$G$16,"A",IF(J9&gt;='Assumptions'!$G$17,"B",IF(J9&gt;='Assumptions'!$G$18,"C",IF(J9&gt;='Assumptions'!$G$19,"D","F"))))</x:f>
        <x:v>F</x:v>
      </x:c>
      <x:c r="M9" s="22" t="n">
        <x:f>IF(J9&gt;='Assumptions'!$G$16,'Assumptions'!$H$16,IF(J9&gt;='Assumptions'!$G$17,'Assumptions'!$H$17,IF(J9&gt;='Assumptions'!$G$18,'Assumptions'!$H$18,IF(J9&gt;='Assumptions'!$G$19,'Assumptions'!$H$19,'Assumptions'!$H$20))))</x:f>
        <x:v>0</x:v>
      </x:c>
    </x:row>
    <x:row r="10" ht="15" hidden="0" customHeight="1">
      <x:c r="A10" s="17" t="n">
        <x:v>5</x:v>
      </x:c>
      <x:c r="B10" s="17" t="str">
        <x:v>2025-Q1</x:v>
      </x:c>
      <x:c r="C10" s="20" t="n">
        <x:v>45747</x:v>
      </x:c>
      <x:c r="D10" s="17" t="str">
        <x:v>Observed</x:v>
      </x:c>
      <x:c r="E10" s="18" t="n">
        <x:f>SUMIFS('Observations'!$D$6:$D$16,'Observations'!$A$6:$A$16,A10)</x:f>
        <x:v>1351240</x:v>
      </x:c>
      <x:c r="F10" s="27" t="n">
        <x:f>LN(E10)/LN(2)</x:f>
        <x:v>20.365852510500535</x:v>
      </x:c>
      <x:c r="G10" s="27" t="n">
        <x:f>F10-F9</x:f>
        <x:v>0.416386256410302</x:v>
      </x:c>
      <x:c r="H10" s="28" t="n">
        <x:f>E10*'Assumptions'!$B$24</x:f>
        <x:v>107819871667200</x:v>
      </x:c>
      <x:c r="I10" s="18" t="n">
        <x:f>H10/'Assumptions'!$I$11</x:f>
        <x:v>6437007.2637134325</x:v>
      </x:c>
      <x:c r="J10" s="29" t="n">
        <x:f>MIN(1,I10/'Assumptions'!$B$9)</x:f>
        <x:v>0.037555468283042195</x:v>
      </x:c>
      <x:c r="K10" s="29" t="n">
        <x:f>J10-J9</x:f>
        <x:v>0.009415187360615817</x:v>
      </x:c>
      <x:c r="L10" s="17" t="str">
        <x:f>IF(J10&gt;='Assumptions'!$G$16,"A",IF(J10&gt;='Assumptions'!$G$17,"B",IF(J10&gt;='Assumptions'!$G$18,"C",IF(J10&gt;='Assumptions'!$G$19,"D","F"))))</x:f>
        <x:v>F</x:v>
      </x:c>
      <x:c r="M10" s="22" t="n">
        <x:f>IF(J10&gt;='Assumptions'!$G$16,'Assumptions'!$H$16,IF(J10&gt;='Assumptions'!$G$17,'Assumptions'!$H$17,IF(J10&gt;='Assumptions'!$G$18,'Assumptions'!$H$18,IF(J10&gt;='Assumptions'!$G$19,'Assumptions'!$H$19,'Assumptions'!$H$20))))</x:f>
        <x:v>0</x:v>
      </x:c>
    </x:row>
    <x:row r="11" ht="15" hidden="0" customHeight="1">
      <x:c r="A11" s="17" t="n">
        <x:v>6</x:v>
      </x:c>
      <x:c r="B11" s="17" t="str">
        <x:v>2025-Q2</x:v>
      </x:c>
      <x:c r="C11" s="20" t="n">
        <x:v>45838</x:v>
      </x:c>
      <x:c r="D11" s="17" t="str">
        <x:v>Observed</x:v>
      </x:c>
      <x:c r="E11" s="18" t="n">
        <x:f>SUMIFS('Observations'!$D$6:$D$16,'Observations'!$A$6:$A$16,A11)</x:f>
        <x:v>2386876</x:v>
      </x:c>
      <x:c r="F11" s="27" t="n">
        <x:f>LN(E11)/LN(2)</x:f>
        <x:v>21.18669218860024</x:v>
      </x:c>
      <x:c r="G11" s="27" t="n">
        <x:f>F11-F10</x:f>
        <x:v>0.8208396780997056</x:v>
      </x:c>
      <x:c r="H11" s="28" t="n">
        <x:f>E11*'Assumptions'!$B$24</x:f>
        <x:v>190456664993280</x:v>
      </x:c>
      <x:c r="I11" s="18" t="n">
        <x:f>H11/'Assumptions'!$I$11</x:f>
        <x:v>11370547.16377791</x:v>
      </x:c>
      <x:c r="J11" s="29" t="n">
        <x:f>MIN(1,I11/'Assumptions'!$B$9)</x:f>
        <x:v>0.06633924833009283</x:v>
      </x:c>
      <x:c r="K11" s="29" t="n">
        <x:f>J11-J10</x:f>
        <x:v>0.028783780047050636</x:v>
      </x:c>
      <x:c r="L11" s="17" t="str">
        <x:f>IF(J11&gt;='Assumptions'!$G$16,"A",IF(J11&gt;='Assumptions'!$G$17,"B",IF(J11&gt;='Assumptions'!$G$18,"C",IF(J11&gt;='Assumptions'!$G$19,"D","F"))))</x:f>
        <x:v>F</x:v>
      </x:c>
      <x:c r="M11" s="22" t="n">
        <x:f>IF(J11&gt;='Assumptions'!$G$16,'Assumptions'!$H$16,IF(J11&gt;='Assumptions'!$G$17,'Assumptions'!$H$17,IF(J11&gt;='Assumptions'!$G$18,'Assumptions'!$H$18,IF(J11&gt;='Assumptions'!$G$19,'Assumptions'!$H$19,'Assumptions'!$H$20))))</x:f>
        <x:v>0</x:v>
      </x:c>
    </x:row>
    <x:row r="12" ht="15" hidden="0" customHeight="1">
      <x:c r="A12" s="17" t="n">
        <x:v>7</x:v>
      </x:c>
      <x:c r="B12" s="17" t="str">
        <x:v>2025-Q3</x:v>
      </x:c>
      <x:c r="C12" s="20" t="n">
        <x:v>45930</x:v>
      </x:c>
      <x:c r="D12" s="17" t="str">
        <x:v>Observed</x:v>
      </x:c>
      <x:c r="E12" s="18" t="n">
        <x:f>SUMIFS('Observations'!$D$6:$D$16,'Observations'!$A$6:$A$16,A12)</x:f>
        <x:v>3139660</x:v>
      </x:c>
      <x:c r="F12" s="27" t="n">
        <x:f>LN(E12)/LN(2)</x:f>
        <x:v>21.582176904596352</x:v>
      </x:c>
      <x:c r="G12" s="27" t="n">
        <x:f>F12-F11</x:f>
        <x:v>0.3954847159961119</x:v>
      </x:c>
      <x:c r="H12" s="28" t="n">
        <x:f>E12*'Assumptions'!$B$24</x:f>
        <x:v>250523769484800</x:v>
      </x:c>
      <x:c r="I12" s="18" t="n">
        <x:f>H12/'Assumptions'!$I$11</x:f>
        <x:v>14956642.954316419</x:v>
      </x:c>
      <x:c r="J12" s="29" t="n">
        <x:f>MIN(1,I12/'Assumptions'!$B$9)</x:f>
        <x:v>0.08726162750476324</x:v>
      </x:c>
      <x:c r="K12" s="29" t="n">
        <x:f>J12-J11</x:f>
        <x:v>0.020922379174670408</x:v>
      </x:c>
      <x:c r="L12" s="17" t="str">
        <x:f>IF(J12&gt;='Assumptions'!$G$16,"A",IF(J12&gt;='Assumptions'!$G$17,"B",IF(J12&gt;='Assumptions'!$G$18,"C",IF(J12&gt;='Assumptions'!$G$19,"D","F"))))</x:f>
        <x:v>F</x:v>
      </x:c>
      <x:c r="M12" s="22" t="n">
        <x:f>IF(J12&gt;='Assumptions'!$G$16,'Assumptions'!$H$16,IF(J12&gt;='Assumptions'!$G$17,'Assumptions'!$H$17,IF(J12&gt;='Assumptions'!$G$18,'Assumptions'!$H$18,IF(J12&gt;='Assumptions'!$G$19,'Assumptions'!$H$19,'Assumptions'!$H$20))))</x:f>
        <x:v>0</x:v>
      </x:c>
    </x:row>
    <x:row r="13" ht="15" hidden="0" customHeight="1">
      <x:c r="A13" s="17" t="n">
        <x:v>8</x:v>
      </x:c>
      <x:c r="B13" s="17" t="str">
        <x:v>2025-Q4</x:v>
      </x:c>
      <x:c r="C13" s="20" t="n">
        <x:v>46022</x:v>
      </x:c>
      <x:c r="D13" s="17" t="str">
        <x:v>Observed</x:v>
      </x:c>
      <x:c r="E13" s="18" t="n">
        <x:f>SUMIFS('Observations'!$D$6:$D$16,'Observations'!$A$6:$A$16,A13)</x:f>
        <x:v>5291375</x:v>
      </x:c>
      <x:c r="F13" s="27" t="n">
        <x:f>LN(E13)/LN(2)</x:f>
        <x:v>22.335211234559345</x:v>
      </x:c>
      <x:c r="G13" s="27" t="n">
        <x:f>F13-F12</x:f>
        <x:v>0.7530343299629934</x:v>
      </x:c>
      <x:c r="H13" s="28" t="n">
        <x:f>E13*'Assumptions'!$B$24</x:f>
        <x:v>422216166960000</x:v>
      </x:c>
      <x:c r="I13" s="18" t="n">
        <x:f>H13/'Assumptions'!$I$11</x:f>
        <x:v>25206935.340895522</x:v>
      </x:c>
      <x:c r="J13" s="29" t="n">
        <x:f>MIN(1,I13/'Assumptions'!$B$9)</x:f>
        <x:v>0.14706496698305438</x:v>
      </x:c>
      <x:c r="K13" s="29" t="n">
        <x:f>J13-J12</x:f>
        <x:v>0.05980333947829114</x:v>
      </x:c>
      <x:c r="L13" s="17" t="str">
        <x:f>IF(J13&gt;='Assumptions'!$G$16,"A",IF(J13&gt;='Assumptions'!$G$17,"B",IF(J13&gt;='Assumptions'!$G$18,"C",IF(J13&gt;='Assumptions'!$G$19,"D","F"))))</x:f>
        <x:v>F</x:v>
      </x:c>
      <x:c r="M13" s="22" t="n">
        <x:f>IF(J13&gt;='Assumptions'!$G$16,'Assumptions'!$H$16,IF(J13&gt;='Assumptions'!$G$17,'Assumptions'!$H$17,IF(J13&gt;='Assumptions'!$G$18,'Assumptions'!$H$18,IF(J13&gt;='Assumptions'!$G$19,'Assumptions'!$H$19,'Assumptions'!$H$20))))</x:f>
        <x:v>0</x:v>
      </x:c>
    </x:row>
    <x:row r="14" ht="15" hidden="0" customHeight="1">
      <x:c r="A14" s="17" t="n">
        <x:v>9</x:v>
      </x:c>
      <x:c r="B14" s="17" t="str">
        <x:v>2026-Q1</x:v>
      </x:c>
      <x:c r="C14" s="20" t="n">
        <x:v>46112</x:v>
      </x:c>
      <x:c r="D14" s="17" t="str">
        <x:v>Observed</x:v>
      </x:c>
      <x:c r="E14" s="18" t="n">
        <x:f>SUMIFS('Observations'!$D$6:$D$16,'Observations'!$A$6:$A$16,A14)</x:f>
        <x:v>6301294</x:v>
      </x:c>
      <x:c r="F14" s="27" t="n">
        <x:f>LN(E14)/LN(2)</x:f>
        <x:v>22.587216692490202</x:v>
      </x:c>
      <x:c r="G14" s="27" t="n">
        <x:f>F14-F13</x:f>
        <x:v>0.2520054579308564</x:v>
      </x:c>
      <x:c r="H14" s="28" t="n">
        <x:f>E14*'Assumptions'!$B$24</x:f>
        <x:v>502800916504320</x:v>
      </x:c>
      <x:c r="I14" s="18" t="n">
        <x:f>H14/'Assumptions'!$I$11</x:f>
        <x:v>30017965.164437015</x:v>
      </x:c>
      <x:c r="J14" s="29" t="n">
        <x:f>MIN(1,I14/'Assumptions'!$B$9)</x:f>
        <x:v>0.17513398579018094</x:v>
      </x:c>
      <x:c r="K14" s="29" t="n">
        <x:f>J14-J13</x:f>
        <x:v>0.02806901880712656</x:v>
      </x:c>
      <x:c r="L14" s="17" t="str">
        <x:f>IF(J14&gt;='Assumptions'!$G$16,"A",IF(J14&gt;='Assumptions'!$G$17,"B",IF(J14&gt;='Assumptions'!$G$18,"C",IF(J14&gt;='Assumptions'!$G$19,"D","F"))))</x:f>
        <x:v>F</x:v>
      </x:c>
      <x:c r="M14" s="22" t="n">
        <x:f>IF(J14&gt;='Assumptions'!$G$16,'Assumptions'!$H$16,IF(J14&gt;='Assumptions'!$G$17,'Assumptions'!$H$17,IF(J14&gt;='Assumptions'!$G$18,'Assumptions'!$H$18,IF(J14&gt;='Assumptions'!$G$19,'Assumptions'!$H$19,'Assumptions'!$H$20))))</x:f>
        <x:v>0</x:v>
      </x:c>
    </x:row>
    <x:row r="15" ht="15" hidden="0" customHeight="1">
      <x:c r="A15" s="17" t="n">
        <x:v>10</x:v>
      </x:c>
      <x:c r="B15" s="17" t="str">
        <x:v>2026-Q2</x:v>
      </x:c>
      <x:c r="C15" s="20" t="n">
        <x:v>46203</x:v>
      </x:c>
      <x:c r="D15" s="17" t="str">
        <x:v>Observed</x:v>
      </x:c>
      <x:c r="E15" s="18" t="n">
        <x:f>SUMIFS('Observations'!$D$6:$D$16,'Observations'!$A$6:$A$16,A15)</x:f>
        <x:v>11223855</x:v>
      </x:c>
      <x:c r="F15" s="27" t="n">
        <x:f>LN(E15)/LN(2)</x:f>
        <x:v>23.420064940351466</x:v>
      </x:c>
      <x:c r="G15" s="27" t="n">
        <x:f>F15-F14</x:f>
        <x:v>0.8328482478612642</x:v>
      </x:c>
      <x:c r="H15" s="28" t="n">
        <x:f>E15*'Assumptions'!$B$24</x:f>
        <x:v>895588204694400</x:v>
      </x:c>
      <x:c r="I15" s="18" t="n">
        <x:f>H15/'Assumptions'!$I$11</x:f>
        <x:v>53467952.51906866</x:v>
      </x:c>
      <x:c r="J15" s="29" t="n">
        <x:f>MIN(1,I15/'Assumptions'!$B$9)</x:f>
        <x:v>0.31194838109141576</x:v>
      </x:c>
      <x:c r="K15" s="29" t="n">
        <x:f>J15-J14</x:f>
        <x:v>0.13681439530123482</x:v>
      </x:c>
      <x:c r="L15" s="17" t="str">
        <x:f>IF(J15&gt;='Assumptions'!$G$16,"A",IF(J15&gt;='Assumptions'!$G$17,"B",IF(J15&gt;='Assumptions'!$G$18,"C",IF(J15&gt;='Assumptions'!$G$19,"D","F"))))</x:f>
        <x:v>F</x:v>
      </x:c>
      <x:c r="M15" s="22" t="n">
        <x:f>IF(J15&gt;='Assumptions'!$G$16,'Assumptions'!$H$16,IF(J15&gt;='Assumptions'!$G$17,'Assumptions'!$H$17,IF(J15&gt;='Assumptions'!$G$18,'Assumptions'!$H$18,IF(J15&gt;='Assumptions'!$G$19,'Assumptions'!$H$19,'Assumptions'!$H$20))))</x:f>
        <x:v>0</x:v>
      </x:c>
    </x:row>
    <x:row r="16" ht="15" hidden="0" customHeight="1">
      <x:c r="A16" s="17" t="n">
        <x:v>11</x:v>
      </x:c>
      <x:c r="B16" s="17" t="str">
        <x:v>2026-Q3</x:v>
      </x:c>
      <x:c r="C16" s="20" t="n">
        <x:v>46260</x:v>
      </x:c>
      <x:c r="D16" s="17" t="str">
        <x:v>Observed QTD</x:v>
      </x:c>
      <x:c r="E16" s="18" t="n">
        <x:f>SUMIFS('Observations'!$D$6:$D$16,'Observations'!$A$6:$A$16,A16)</x:f>
        <x:v>13524006</x:v>
      </x:c>
      <x:c r="F16" s="27" t="n">
        <x:f>LN(E16)/LN(2)</x:f>
        <x:v>23.689019225615233</x:v>
      </x:c>
      <x:c r="G16" s="27" t="n">
        <x:f>F16-F15</x:f>
        <x:v>0.2689542852637672</x:v>
      </x:c>
      <x:c r="H16" s="28" t="n">
        <x:f>E16*'Assumptions'!$B$24</x:f>
        <x:v>1079124797479680</x:v>
      </x:c>
      <x:c r="I16" s="18" t="n">
        <x:f>H16/'Assumptions'!$I$11</x:f>
        <x:v>64425361.043562986</x:v>
      </x:c>
      <x:c r="J16" s="29" t="n">
        <x:f>MIN(1,I16/'Assumptions'!$B$9)</x:f>
        <x:v>0.37587725229616675</x:v>
      </x:c>
      <x:c r="K16" s="29" t="n">
        <x:f>J16-J15</x:f>
        <x:v>0.06392887120475099</x:v>
      </x:c>
      <x:c r="L16" s="17" t="str">
        <x:f>IF(J16&gt;='Assumptions'!$G$16,"A",IF(J16&gt;='Assumptions'!$G$17,"B",IF(J16&gt;='Assumptions'!$G$18,"C",IF(J16&gt;='Assumptions'!$G$19,"D","F"))))</x:f>
        <x:v>F</x:v>
      </x:c>
      <x:c r="M16" s="22" t="n">
        <x:f>IF(J16&gt;='Assumptions'!$G$16,'Assumptions'!$H$16,IF(J16&gt;='Assumptions'!$G$17,'Assumptions'!$H$17,IF(J16&gt;='Assumptions'!$G$18,'Assumptions'!$H$18,IF(J16&gt;='Assumptions'!$G$19,'Assumptions'!$H$19,'Assumptions'!$H$20))))</x:f>
        <x:v>0</x:v>
      </x:c>
    </x:row>
    <x:row r="17" ht="15" hidden="0" customHeight="1">
      <x:c r="A17" s="17" t="n">
        <x:v>12</x:v>
      </x:c>
      <x:c r="B17" s="17" t="str">
        <x:v>2026-Q4</x:v>
      </x:c>
      <x:c r="C17" s="20" t="n">
        <x:v>46387</x:v>
      </x:c>
      <x:c r="D17" s="23" t="str">
        <x:v>Projected</x:v>
      </x:c>
      <x:c r="E17" s="30" t="n">
        <x:f>POWER(2,MAX($F$16,$F$16+'Assumptions'!$B$30*(A17-'Assumptions'!$B$10)+0.5*'Assumptions'!$B$28*POWER(A17-'Assumptions'!$B$10,2)))</x:f>
        <x:v>18127258.106893934</x:v>
      </x:c>
      <x:c r="F17" s="31" t="n">
        <x:f>LN(E17)/LN(2)</x:f>
        <x:v>24.11165738660533</x:v>
      </x:c>
      <x:c r="G17" s="31" t="n">
        <x:f>F17-F16</x:f>
        <x:v>0.4226381609900969</x:v>
      </x:c>
      <x:c r="H17" s="32" t="n">
        <x:f>E17*'Assumptions'!$B$24</x:f>
        <x:v>1446433381755657.8</x:v>
      </x:c>
      <x:c r="I17" s="30" t="n">
        <x:f>H17/'Assumptions'!$I$11</x:f>
        <x:v>86354231.74660644</x:v>
      </x:c>
      <x:c r="J17" s="33" t="n">
        <x:f>MIN(1,I17/'Assumptions'!$B$9)</x:f>
        <x:v>0.5038169880198742</x:v>
      </x:c>
      <x:c r="K17" s="33" t="n">
        <x:f>J17-J16</x:f>
        <x:v>0.12793973572370743</x:v>
      </x:c>
      <x:c r="L17" s="23" t="str">
        <x:f>IF(J17&gt;='Assumptions'!$G$16,"A",IF(J17&gt;='Assumptions'!$G$17,"B",IF(J17&gt;='Assumptions'!$G$18,"C",IF(J17&gt;='Assumptions'!$G$19,"D","F"))))</x:f>
        <x:v>F</x:v>
      </x:c>
      <x:c r="M17" s="34" t="n">
        <x:f>IF(J17&gt;='Assumptions'!$G$16,'Assumptions'!$H$16,IF(J17&gt;='Assumptions'!$G$17,'Assumptions'!$H$17,IF(J17&gt;='Assumptions'!$G$18,'Assumptions'!$H$18,IF(J17&gt;='Assumptions'!$G$19,'Assumptions'!$H$19,'Assumptions'!$H$20))))</x:f>
        <x:v>0</x:v>
      </x:c>
    </x:row>
    <x:row r="18" ht="15" hidden="0" customHeight="1">
      <x:c r="A18" s="17" t="n">
        <x:v>13</x:v>
      </x:c>
      <x:c r="B18" s="17" t="str">
        <x:v>2027-Q1</x:v>
      </x:c>
      <x:c r="C18" s="20" t="n">
        <x:v>46477</x:v>
      </x:c>
      <x:c r="D18" s="23" t="str">
        <x:v>Projected</x:v>
      </x:c>
      <x:c r="E18" s="30" t="n">
        <x:f>POWER(2,MAX($F$16,$F$16+'Assumptions'!$B$30*(A18-'Assumptions'!$B$10)+0.5*'Assumptions'!$B$28*POWER(A18-'Assumptions'!$B$10,2)))</x:f>
        <x:v>23778746.574347917</x:v>
      </x:c>
      <x:c r="F18" s="31" t="n">
        <x:f>LN(E18)/LN(2)</x:f>
        <x:v>24.50316933393634</x:v>
      </x:c>
      <x:c r="G18" s="31" t="n">
        <x:f>F18-F17</x:f>
        <x:v>0.39151194733101136</x:v>
      </x:c>
      <x:c r="H18" s="32" t="n">
        <x:f>E18*'Assumptions'!$B$24</x:f>
        <x:v>1897384183455984.2</x:v>
      </x:c>
      <x:c r="I18" s="30" t="n">
        <x:f>H18/'Assumptions'!$I$11</x:f>
        <x:v>113276667.66901399</x:v>
      </x:c>
      <x:c r="J18" s="33" t="n">
        <x:f>MIN(1,I18/'Assumptions'!$B$9)</x:f>
        <x:v>0.660890709854224</x:v>
      </x:c>
      <x:c r="K18" s="33" t="n">
        <x:f>J18-J17</x:f>
        <x:v>0.15707372183434987</x:v>
      </x:c>
      <x:c r="L18" s="23" t="str">
        <x:f>IF(J18&gt;='Assumptions'!$G$16,"A",IF(J18&gt;='Assumptions'!$G$17,"B",IF(J18&gt;='Assumptions'!$G$18,"C",IF(J18&gt;='Assumptions'!$G$19,"D","F"))))</x:f>
        <x:v>D</x:v>
      </x:c>
      <x:c r="M18" s="34" t="n">
        <x:f>IF(J18&gt;='Assumptions'!$G$16,'Assumptions'!$H$16,IF(J18&gt;='Assumptions'!$G$17,'Assumptions'!$H$17,IF(J18&gt;='Assumptions'!$G$18,'Assumptions'!$H$18,IF(J18&gt;='Assumptions'!$G$19,'Assumptions'!$H$19,'Assumptions'!$H$20))))</x:f>
        <x:v>1</x:v>
      </x:c>
    </x:row>
    <x:row r="19" ht="15" hidden="0" customHeight="1">
      <x:c r="A19" s="17" t="n">
        <x:v>14</x:v>
      </x:c>
      <x:c r="B19" s="17" t="str">
        <x:v>2027-Q2</x:v>
      </x:c>
      <x:c r="C19" s="20" t="n">
        <x:v>46568</x:v>
      </x:c>
      <x:c r="D19" s="23" t="str">
        <x:v>Projected</x:v>
      </x:c>
      <x:c r="E19" s="30" t="n">
        <x:f>POWER(2,MAX($F$16,$F$16+'Assumptions'!$B$30*(A19-'Assumptions'!$B$10)+0.5*'Assumptions'!$B$28*POWER(A19-'Assumptions'!$B$10,2)))</x:f>
        <x:v>30526419.9293022</x:v>
      </x:c>
      <x:c r="F19" s="31" t="n">
        <x:f>LN(E19)/LN(2)</x:f>
        <x:v>24.86355506760828</x:v>
      </x:c>
      <x:c r="G19" s="31" t="n">
        <x:f>F19-F18</x:f>
        <x:v>0.36038573367194005</x:v>
      </x:c>
      <x:c r="H19" s="32" t="n">
        <x:f>E19*'Assumptions'!$B$24</x:f>
        <x:v>2435803172816390.5</x:v>
      </x:c>
      <x:c r="I19" s="30" t="n">
        <x:f>H19/'Assumptions'!$I$11</x:f>
        <x:v>145421084.94426212</x:v>
      </x:c>
      <x:c r="J19" s="33" t="n">
        <x:f>MIN(1,I19/'Assumptions'!$B$9)</x:f>
        <x:v>0.8484310673527545</x:v>
      </x:c>
      <x:c r="K19" s="33" t="n">
        <x:f>J19-J18</x:f>
        <x:v>0.18754035749853049</x:v>
      </x:c>
      <x:c r="L19" s="23" t="str">
        <x:f>IF(J19&gt;='Assumptions'!$G$16,"A",IF(J19&gt;='Assumptions'!$G$17,"B",IF(J19&gt;='Assumptions'!$G$18,"C",IF(J19&gt;='Assumptions'!$G$19,"D","F"))))</x:f>
        <x:v>B</x:v>
      </x:c>
      <x:c r="M19" s="34" t="n">
        <x:f>IF(J19&gt;='Assumptions'!$G$16,'Assumptions'!$H$16,IF(J19&gt;='Assumptions'!$G$17,'Assumptions'!$H$17,IF(J19&gt;='Assumptions'!$G$18,'Assumptions'!$H$18,IF(J19&gt;='Assumptions'!$G$19,'Assumptions'!$H$19,'Assumptions'!$H$20))))</x:f>
        <x:v>3</x:v>
      </x:c>
    </x:row>
    <x:row r="20" ht="15" hidden="0" customHeight="1">
      <x:c r="A20" s="17" t="n">
        <x:v>15</x:v>
      </x:c>
      <x:c r="B20" s="17" t="str">
        <x:v>2027-Q3</x:v>
      </x:c>
      <x:c r="C20" s="20" t="n">
        <x:v>46660</x:v>
      </x:c>
      <x:c r="D20" s="23" t="str">
        <x:v>Projected</x:v>
      </x:c>
      <x:c r="E20" s="30" t="n">
        <x:f>POWER(2,MAX($F$16,$F$16+'Assumptions'!$B$30*(A20-'Assumptions'!$B$10)+0.5*'Assumptions'!$B$28*POWER(A20-'Assumptions'!$B$10,2)))</x:f>
        <x:v>38352428.24553096</x:v>
      </x:c>
      <x:c r="F20" s="31" t="n">
        <x:f>LN(E20)/LN(2)</x:f>
        <x:v>25.19281458762115</x:v>
      </x:c>
      <x:c r="G20" s="31" t="n">
        <x:f>F20-F19</x:f>
        <x:v>0.32925952001286873</x:v>
      </x:c>
      <x:c r="H20" s="32" t="n">
        <x:f>E20*'Assumptions'!$B$24</x:f>
        <x:v>3060266045675561</x:v>
      </x:c>
      <x:c r="I20" s="30" t="n">
        <x:f>H20/'Assumptions'!$I$11</x:f>
        <x:v>182702450.4880932</x:v>
      </x:c>
      <x:c r="J20" s="33" t="n">
        <x:f>MIN(1,I20/'Assumptions'!$B$9)</x:f>
        <x:v>1</x:v>
      </x:c>
      <x:c r="K20" s="33" t="n">
        <x:f>J20-J19</x:f>
        <x:v>0.15156893264724547</x:v>
      </x:c>
      <x:c r="L20" s="23" t="str">
        <x:f>IF(J20&gt;='Assumptions'!$G$16,"A",IF(J20&gt;='Assumptions'!$G$17,"B",IF(J20&gt;='Assumptions'!$G$18,"C",IF(J20&gt;='Assumptions'!$G$19,"D","F"))))</x:f>
        <x:v>A</x:v>
      </x:c>
      <x:c r="M20" s="34" t="n">
        <x:f>IF(J20&gt;='Assumptions'!$G$16,'Assumptions'!$H$16,IF(J20&gt;='Assumptions'!$G$17,'Assumptions'!$H$17,IF(J20&gt;='Assumptions'!$G$18,'Assumptions'!$H$18,IF(J20&gt;='Assumptions'!$G$19,'Assumptions'!$H$19,'Assumptions'!$H$20))))</x:f>
        <x:v>4</x:v>
      </x:c>
    </x:row>
    <x:row r="21" ht="15" hidden="0" customHeight="1">
      <x:c r="A21" s="17" t="n">
        <x:v>16</x:v>
      </x:c>
      <x:c r="B21" s="17" t="str">
        <x:v>2027-Q4</x:v>
      </x:c>
      <x:c r="C21" s="20" t="n">
        <x:v>46752</x:v>
      </x:c>
      <x:c r="D21" s="23" t="str">
        <x:v>Projected</x:v>
      </x:c>
      <x:c r="E21" s="30" t="n">
        <x:f>POWER(2,MAX($F$16,$F$16+'Assumptions'!$B$30*(A21-'Assumptions'!$B$10)+0.5*'Assumptions'!$B$28*POWER(A21-'Assumptions'!$B$10,2)))</x:f>
        <x:v>47156323.02513182</x:v>
      </x:c>
      <x:c r="F21" s="31" t="n">
        <x:f>LN(E21)/LN(2)</x:f>
        <x:v>25.490947893974944</x:v>
      </x:c>
      <x:c r="G21" s="31" t="n">
        <x:f>F21-F20</x:f>
        <x:v>0.29813330635379387</x:v>
      </x:c>
      <x:c r="H21" s="32" t="n">
        <x:f>E21*'Assumptions'!$B$24</x:f>
        <x:v>3762757686914790.5</x:v>
      </x:c>
      <x:c r="I21" s="30" t="n">
        <x:f>H21/'Assumptions'!$I$11</x:f>
        <x:v>224642249.9650621</x:v>
      </x:c>
      <x:c r="J21" s="33" t="n">
        <x:f>MIN(1,I21/'Assumptions'!$B$9)</x:f>
        <x:v>1</x:v>
      </x:c>
      <x:c r="K21" s="33" t="n">
        <x:f>J21-J20</x:f>
        <x:v>0</x:v>
      </x:c>
      <x:c r="L21" s="23" t="str">
        <x:f>IF(J21&gt;='Assumptions'!$G$16,"A",IF(J21&gt;='Assumptions'!$G$17,"B",IF(J21&gt;='Assumptions'!$G$18,"C",IF(J21&gt;='Assumptions'!$G$19,"D","F"))))</x:f>
        <x:v>A</x:v>
      </x:c>
      <x:c r="M21" s="34" t="n">
        <x:f>IF(J21&gt;='Assumptions'!$G$16,'Assumptions'!$H$16,IF(J21&gt;='Assumptions'!$G$17,'Assumptions'!$H$17,IF(J21&gt;='Assumptions'!$G$18,'Assumptions'!$H$18,IF(J21&gt;='Assumptions'!$G$19,'Assumptions'!$H$19,'Assumptions'!$H$20))))</x:f>
        <x:v>4</x:v>
      </x:c>
    </x:row>
    <x:row r="22" ht="15" hidden="0" customHeight="1">
      <x:c r="A22" s="17" t="n">
        <x:v>17</x:v>
      </x:c>
      <x:c r="B22" s="17" t="str">
        <x:v>2028-Q1</x:v>
      </x:c>
      <x:c r="C22" s="20" t="n">
        <x:v>46843</x:v>
      </x:c>
      <x:c r="D22" s="23" t="str">
        <x:v>Projected</x:v>
      </x:c>
      <x:c r="E22" s="30" t="n">
        <x:f>POWER(2,MAX($F$16,$F$16+'Assumptions'!$B$30*(A22-'Assumptions'!$B$10)+0.5*'Assumptions'!$B$28*POWER(A22-'Assumptions'!$B$10,2)))</x:f>
        <x:v>56743625.158091314</x:v>
      </x:c>
      <x:c r="F22" s="31" t="n">
        <x:f>LN(E22)/LN(2)</x:f>
        <x:v>25.757954986669667</x:v>
      </x:c>
      <x:c r="G22" s="31" t="n">
        <x:f>F22-F21</x:f>
        <x:v>0.26700709269472256</x:v>
      </x:c>
      <x:c r="H22" s="32" t="n">
        <x:f>E22*'Assumptions'!$B$24</x:f>
        <x:v>4527759970454624</x:v>
      </x:c>
      <x:c r="I22" s="30" t="n">
        <x:f>H22/'Assumptions'!$I$11</x:f>
        <x:v>270314028.08684325</x:v>
      </x:c>
      <x:c r="J22" s="33" t="n">
        <x:f>MIN(1,I22/'Assumptions'!$B$9)</x:f>
        <x:v>1</x:v>
      </x:c>
      <x:c r="K22" s="33" t="n">
        <x:f>J22-J21</x:f>
        <x:v>0</x:v>
      </x:c>
      <x:c r="L22" s="23" t="str">
        <x:f>IF(J22&gt;='Assumptions'!$G$16,"A",IF(J22&gt;='Assumptions'!$G$17,"B",IF(J22&gt;='Assumptions'!$G$18,"C",IF(J22&gt;='Assumptions'!$G$19,"D","F"))))</x:f>
        <x:v>A</x:v>
      </x:c>
      <x:c r="M22" s="34" t="n">
        <x:f>IF(J22&gt;='Assumptions'!$G$16,'Assumptions'!$H$16,IF(J22&gt;='Assumptions'!$G$17,'Assumptions'!$H$17,IF(J22&gt;='Assumptions'!$G$18,'Assumptions'!$H$18,IF(J22&gt;='Assumptions'!$G$19,'Assumptions'!$H$19,'Assumptions'!$H$20))))</x:f>
        <x:v>4</x:v>
      </x:c>
    </x:row>
    <x:row r="23" ht="15" hidden="0" customHeight="1">
      <x:c r="A23" s="17" t="n">
        <x:v>18</x:v>
      </x:c>
      <x:c r="B23" s="17" t="str">
        <x:v>2028-Q2</x:v>
      </x:c>
      <x:c r="C23" s="20" t="n">
        <x:v>46934</x:v>
      </x:c>
      <x:c r="D23" s="23" t="str">
        <x:v>Projected</x:v>
      </x:c>
      <x:c r="E23" s="30" t="n">
        <x:f>POWER(2,MAX($F$16,$F$16+'Assumptions'!$B$30*(A23-'Assumptions'!$B$10)+0.5*'Assumptions'!$B$28*POWER(A23-'Assumptions'!$B$10,2)))</x:f>
        <x:v>66822742.84080343</x:v>
      </x:c>
      <x:c r="F23" s="31" t="n">
        <x:f>LN(E23)/LN(2)</x:f>
        <x:v>25.993835865705307</x:v>
      </x:c>
      <x:c r="G23" s="31" t="n">
        <x:f>F23-F22</x:f>
        <x:v>0.2358808790356406</x:v>
      </x:c>
      <x:c r="H23" s="32" t="n">
        <x:f>E23*'Assumptions'!$B$24</x:f>
        <x:v>5332005829864223</x:v>
      </x:c>
      <x:c r="I23" s="30" t="n">
        <x:f>H23/'Assumptions'!$I$11</x:f>
        <x:v>318328706.2605506</x:v>
      </x:c>
      <x:c r="J23" s="33" t="n">
        <x:f>MIN(1,I23/'Assumptions'!$B$9)</x:f>
        <x:v>1</x:v>
      </x:c>
      <x:c r="K23" s="33" t="n">
        <x:f>J23-J22</x:f>
        <x:v>0</x:v>
      </x:c>
      <x:c r="L23" s="23" t="str">
        <x:f>IF(J23&gt;='Assumptions'!$G$16,"A",IF(J23&gt;='Assumptions'!$G$17,"B",IF(J23&gt;='Assumptions'!$G$18,"C",IF(J23&gt;='Assumptions'!$G$19,"D","F"))))</x:f>
        <x:v>A</x:v>
      </x:c>
      <x:c r="M23" s="34" t="n">
        <x:f>IF(J23&gt;='Assumptions'!$G$16,'Assumptions'!$H$16,IF(J23&gt;='Assumptions'!$G$17,'Assumptions'!$H$17,IF(J23&gt;='Assumptions'!$G$18,'Assumptions'!$H$18,IF(J23&gt;='Assumptions'!$G$19,'Assumptions'!$H$19,'Assumptions'!$H$20))))</x:f>
        <x:v>4</x:v>
      </x:c>
    </x:row>
    <x:row r="24" ht="15" hidden="0" customHeight="1">
      <x:c r="A24" s="17" t="n">
        <x:v>19</x:v>
      </x:c>
      <x:c r="B24" s="17" t="str">
        <x:v>2028-Q3</x:v>
      </x:c>
      <x:c r="C24" s="20" t="n">
        <x:v>47026</x:v>
      </x:c>
      <x:c r="D24" s="23" t="str">
        <x:v>Projected</x:v>
      </x:c>
      <x:c r="E24" s="30" t="n">
        <x:f>POWER(2,MAX($F$16,$F$16+'Assumptions'!$B$30*(A24-'Assumptions'!$B$10)+0.5*'Assumptions'!$B$28*POWER(A24-'Assumptions'!$B$10,2)))</x:f>
        <x:v>77012565.99657708</x:v>
      </x:c>
      <x:c r="F24" s="31" t="n">
        <x:f>LN(E24)/LN(2)</x:f>
        <x:v>26.198590531081877</x:v>
      </x:c>
      <x:c r="G24" s="31" t="n">
        <x:f>F24-F23</x:f>
        <x:v>0.20475466537656928</x:v>
      </x:c>
      <x:c r="H24" s="32" t="n">
        <x:f>E24*'Assumptions'!$B$24</x:f>
        <x:v>6145085242083354</x:v>
      </x:c>
      <x:c r="I24" s="30" t="n">
        <x:f>H24/'Assumptions'!$I$11</x:f>
        <x:v>366870760.72139424</x:v>
      </x:c>
      <x:c r="J24" s="33" t="n">
        <x:f>MIN(1,I24/'Assumptions'!$B$9)</x:f>
        <x:v>1</x:v>
      </x:c>
      <x:c r="K24" s="33" t="n">
        <x:f>J24-J23</x:f>
        <x:v>0</x:v>
      </x:c>
      <x:c r="L24" s="23" t="str">
        <x:f>IF(J24&gt;='Assumptions'!$G$16,"A",IF(J24&gt;='Assumptions'!$G$17,"B",IF(J24&gt;='Assumptions'!$G$18,"C",IF(J24&gt;='Assumptions'!$G$19,"D","F"))))</x:f>
        <x:v>A</x:v>
      </x:c>
      <x:c r="M24" s="34" t="n">
        <x:f>IF(J24&gt;='Assumptions'!$G$16,'Assumptions'!$H$16,IF(J24&gt;='Assumptions'!$G$17,'Assumptions'!$H$17,IF(J24&gt;='Assumptions'!$G$18,'Assumptions'!$H$18,IF(J24&gt;='Assumptions'!$G$19,'Assumptions'!$H$19,'Assumptions'!$H$20))))</x:f>
        <x:v>4</x:v>
      </x:c>
    </x:row>
    <x:row r="25" ht="15" hidden="0" customHeight="1">
      <x:c r="A25" s="17" t="n">
        <x:v>20</x:v>
      </x:c>
      <x:c r="B25" s="17" t="str">
        <x:v>2028-Q4</x:v>
      </x:c>
      <x:c r="C25" s="20" t="n">
        <x:v>47118</x:v>
      </x:c>
      <x:c r="D25" s="23" t="str">
        <x:v>Projected</x:v>
      </x:c>
      <x:c r="E25" s="30" t="n">
        <x:f>POWER(2,MAX($F$16,$F$16+'Assumptions'!$B$30*(A25-'Assumptions'!$B$10)+0.5*'Assumptions'!$B$28*POWER(A25-'Assumptions'!$B$10,2)))</x:f>
        <x:v>86861828.24555889</x:v>
      </x:c>
      <x:c r="F25" s="31" t="n">
        <x:f>LN(E25)/LN(2)</x:f>
        <x:v>26.372218982799378</x:v>
      </x:c>
      <x:c r="G25" s="31" t="n">
        <x:f>F25-F24</x:f>
        <x:v>0.17362845171750152</x:v>
      </x:c>
      <x:c r="H25" s="32" t="n">
        <x:f>E25*'Assumptions'!$B$24</x:f>
        <x:v>6930990182509789</x:v>
      </x:c>
      <x:c r="I25" s="30" t="n">
        <x:f>H25/'Assumptions'!$I$11</x:f>
        <x:v>413790458.65730083</x:v>
      </x:c>
      <x:c r="J25" s="33" t="n">
        <x:f>MIN(1,I25/'Assumptions'!$B$9)</x:f>
        <x:v>1</x:v>
      </x:c>
      <x:c r="K25" s="33" t="n">
        <x:f>J25-J24</x:f>
        <x:v>0</x:v>
      </x:c>
      <x:c r="L25" s="23" t="str">
        <x:f>IF(J25&gt;='Assumptions'!$G$16,"A",IF(J25&gt;='Assumptions'!$G$17,"B",IF(J25&gt;='Assumptions'!$G$18,"C",IF(J25&gt;='Assumptions'!$G$19,"D","F"))))</x:f>
        <x:v>A</x:v>
      </x:c>
      <x:c r="M25" s="34" t="n">
        <x:f>IF(J25&gt;='Assumptions'!$G$16,'Assumptions'!$H$16,IF(J25&gt;='Assumptions'!$G$17,'Assumptions'!$H$17,IF(J25&gt;='Assumptions'!$G$18,'Assumptions'!$H$18,IF(J25&gt;='Assumptions'!$G$19,'Assumptions'!$H$19,'Assumptions'!$H$20))))</x:f>
        <x:v>4</x:v>
      </x:c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3841752e906a4c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9" hidden="0" customWidth="1"/>
    <x:col min="3" max="3" width="21" hidden="0" customWidth="1"/>
    <x:col min="4" max="4" width="48" hidden="0" customWidth="1"/>
    <x:col min="5" max="5" width="3" hidden="0" customWidth="1"/>
    <x:col min="6" max="6" width="24" hidden="0" customWidth="1"/>
    <x:col min="7" max="7" width="21" hidden="0" customWidth="1"/>
    <x:col min="8" max="8" width="18" hidden="0" customWidth="1"/>
    <x:col min="9" max="9" width="24" hidden="0" customWidth="1"/>
  </x:cols>
  <x:sheetData>
    <x:row r="1" ht="28" customHeight="1">
      <x:c r="A1" s="3" t="str">
        <x:v>Compute Threshold and Serving Envelope</x:v>
      </x:c>
      <x:c r="B1" s="3" t="str">
        <x:v>Compute Threshold and Serving Envelope</x:v>
      </x:c>
      <x:c r="C1" s="3" t="str">
        <x:v>Compute Threshold and Serving Envelope</x:v>
      </x:c>
      <x:c r="D1" s="3" t="str">
        <x:v>Compute Threshold and Serving Envelope</x:v>
      </x:c>
      <x:c r="E1" s="3" t="str">
        <x:v>Compute Threshold and Serving Envelope</x:v>
      </x:c>
      <x:c r="F1" s="3" t="str">
        <x:v>Compute Threshold and Serving Envelope</x:v>
      </x:c>
      <x:c r="G1" s="3" t="str">
        <x:v>Compute Threshold and Serving Envelope</x:v>
      </x:c>
      <x:c r="H1" s="3" t="str">
        <x:v>Compute Threshold and Serving Envelope</x:v>
      </x:c>
      <x:c r="I1" s="3" t="str">
        <x:v>Compute Threshold and Serving Envelope</x:v>
      </x:c>
    </x:row>
    <x:row r="2" ht="28" customHeight="1">
      <x:c r="A2" s="3" t="str">
        <x:v>Compute Threshold and Serving Envelope</x:v>
      </x:c>
      <x:c r="B2" s="3" t="str">
        <x:v>Compute Threshold and Serving Envelope</x:v>
      </x:c>
      <x:c r="C2" s="3" t="str">
        <x:v>Compute Threshold and Serving Envelope</x:v>
      </x:c>
      <x:c r="D2" s="3" t="str">
        <x:v>Compute Threshold and Serving Envelope</x:v>
      </x:c>
      <x:c r="E2" s="3" t="str">
        <x:v>Compute Threshold and Serving Envelope</x:v>
      </x:c>
      <x:c r="F2" s="3" t="str">
        <x:v>Compute Threshold and Serving Envelope</x:v>
      </x:c>
      <x:c r="G2" s="3" t="str">
        <x:v>Compute Threshold and Serving Envelope</x:v>
      </x:c>
      <x:c r="H2" s="3" t="str">
        <x:v>Compute Threshold and Serving Envelope</x:v>
      </x:c>
      <x:c r="I2" s="3" t="str">
        <x:v>Compute Threshold and Serving Envelope</x:v>
      </x:c>
    </x:row>
    <x:row r="3" ht="15" hidden="0" customHeight="1">
      <x:c r="A3" s="6" t="str">
        <x:v>Supply passes when U.S.-located operational compute can support 50% of the U.S. population at the high-autonomy personal-AI workload.</x:v>
      </x:c>
      <x:c r="B3" s="6" t="str">
        <x:v>Supply passes when U.S.-located operational compute can support 50% of the U.S. population at the high-autonomy personal-AI workload.</x:v>
      </x:c>
      <x:c r="C3" s="6" t="str">
        <x:v>Supply passes when U.S.-located operational compute can support 50% of the U.S. population at the high-autonomy personal-AI workload.</x:v>
      </x:c>
      <x:c r="D3" s="6" t="str">
        <x:v>Supply passes when U.S.-located operational compute can support 50% of the U.S. population at the high-autonomy personal-AI workload.</x:v>
      </x:c>
      <x:c r="E3" s="6" t="str">
        <x:v>Supply passes when U.S.-located operational compute can support 50% of the U.S. population at the high-autonomy personal-AI workload.</x:v>
      </x:c>
      <x:c r="F3" s="6" t="str">
        <x:v>Supply passes when U.S.-located operational compute can support 50% of the U.S. population at the high-autonomy personal-AI workload.</x:v>
      </x:c>
      <x:c r="G3" s="6" t="str">
        <x:v>Supply passes when U.S.-located operational compute can support 50% of the U.S. population at the high-autonomy personal-AI workload.</x:v>
      </x:c>
      <x:c r="H3" s="6" t="str">
        <x:v>Supply passes when U.S.-located operational compute can support 50% of the U.S. population at the high-autonomy personal-AI workload.</x:v>
      </x:c>
      <x:c r="I3" s="6" t="str">
        <x:v>Supply passes when U.S.-located operational compute can support 50% of the U.S. population at the high-autonomy personal-AI workload.</x:v>
      </x:c>
    </x:row>
    <x:row r="4"/>
    <x:row r="5" ht="15" hidden="0" customHeight="1">
      <x:c r="A5" s="9" t="str">
        <x:v>DIFFUSION THRESHOLD</x:v>
      </x:c>
      <x:c r="B5" s="9" t="str">
        <x:v>DIFFUSION THRESHOLD</x:v>
      </x:c>
      <x:c r="C5" s="9" t="str">
        <x:v>DIFFUSION THRESHOLD</x:v>
      </x:c>
      <x:c r="D5" s="9" t="str">
        <x:v>DIFFUSION THRESHOLD</x:v>
      </x:c>
      <x:c r="F5" s="9" t="str">
        <x:v>HIGH-AUTONOMY WORKLOAD</x:v>
      </x:c>
      <x:c r="G5" s="9" t="str">
        <x:v>HIGH-AUTONOMY WORKLOAD</x:v>
      </x:c>
      <x:c r="H5" s="9" t="str">
        <x:v>HIGH-AUTONOMY WORKLOAD</x:v>
      </x:c>
      <x:c r="I5" s="9" t="str">
        <x:v>HIGH-AUTONOMY WORKLOAD</x:v>
      </x:c>
    </x:row>
    <x:row r="6" ht="34" hidden="0" customHeight="1">
      <x:c r="A6" s="13" t="str">
        <x:v>Input</x:v>
      </x:c>
      <x:c r="B6" s="13" t="str">
        <x:v>Value</x:v>
      </x:c>
      <x:c r="C6" s="13" t="str">
        <x:v>Unit</x:v>
      </x:c>
      <x:c r="D6" s="13" t="str">
        <x:v>Definition / source</x:v>
      </x:c>
      <x:c r="F6" s="13" t="str">
        <x:v>Token component</x:v>
      </x:c>
      <x:c r="G6" s="13" t="str">
        <x:v>Tokens/user/day</x:v>
      </x:c>
      <x:c r="H6" s="13" t="str">
        <x:v>Compute weight</x:v>
      </x:c>
      <x:c r="I6" s="13" t="str">
        <x:v>Compute-equivalent/day</x:v>
      </x:c>
    </x:row>
    <x:row r="7" ht="15" hidden="0" customHeight="1">
      <x:c r="A7" s="17" t="str">
        <x:v>U.S. resident population</x:v>
      </x:c>
      <x:c r="B7" s="18" t="n">
        <x:v>342800000</x:v>
      </x:c>
      <x:c r="C7" s="17" t="str">
        <x:v>people</x:v>
      </x:c>
      <x:c r="D7" s="17" t="str">
        <x:v>User-specified rounded estimate; Census Population Clock</x:v>
      </x:c>
      <x:c r="F7" s="17" t="str">
        <x:v>Uncached input</x:v>
      </x:c>
      <x:c r="G7" s="18" t="n">
        <x:v>2000000</x:v>
      </x:c>
      <x:c r="H7" s="25" t="n">
        <x:v>1</x:v>
      </x:c>
      <x:c r="I7" s="18" t="n">
        <x:f>G7*H7</x:f>
        <x:v>2000000</x:v>
      </x:c>
    </x:row>
    <x:row r="8" ht="15" hidden="0" customHeight="1">
      <x:c r="A8" s="17" t="str">
        <x:v>Population share threshold</x:v>
      </x:c>
      <x:c r="B8" s="19" t="n">
        <x:v>0.5</x:v>
      </x:c>
      <x:c r="C8" s="17" t="str">
        <x:v>%</x:v>
      </x:c>
      <x:c r="D8" s="17" t="str">
        <x:v>User-selected supply threshold</x:v>
      </x:c>
      <x:c r="F8" s="17" t="str">
        <x:v>Visible output</x:v>
      </x:c>
      <x:c r="G8" s="18" t="n">
        <x:v>300000</x:v>
      </x:c>
      <x:c r="H8" s="25" t="n">
        <x:v>2.5</x:v>
      </x:c>
      <x:c r="I8" s="18" t="n">
        <x:f>G8*H8</x:f>
        <x:v>750000</x:v>
      </x:c>
    </x:row>
    <x:row r="9" ht="15" hidden="0" customHeight="1">
      <x:c r="A9" s="17" t="str">
        <x:v>Target users</x:v>
      </x:c>
      <x:c r="B9" s="18" t="n">
        <x:f>B7*B8</x:f>
        <x:v>171400000</x:v>
      </x:c>
      <x:c r="C9" s="17" t="str">
        <x:v>people</x:v>
      </x:c>
      <x:c r="D9" s="17" t="str">
        <x:v>Population × threshold share</x:v>
      </x:c>
      <x:c r="F9" s="17" t="str">
        <x:v>Internal reasoning</x:v>
      </x:c>
      <x:c r="G9" s="18" t="n">
        <x:v>5000000</x:v>
      </x:c>
      <x:c r="H9" s="25" t="n">
        <x:v>2.5</x:v>
      </x:c>
      <x:c r="I9" s="18" t="n">
        <x:f>G9*H9</x:f>
        <x:v>12500000</x:v>
      </x:c>
    </x:row>
    <x:row r="10" ht="15" hidden="0" customHeight="1">
      <x:c r="A10" s="17" t="str">
        <x:v>Current quarter index</x:v>
      </x:c>
      <x:c r="B10" s="17" t="n">
        <x:v>11</x:v>
      </x:c>
      <x:c r="C10" s="17" t="str">
        <x:v>quarter</x:v>
      </x:c>
      <x:c r="D10" s="17" t="str">
        <x:v>2024-Q1 = 1; current is 2026-Q3</x:v>
      </x:c>
      <x:c r="F10" s="17" t="str">
        <x:v>Cached/reused context</x:v>
      </x:c>
      <x:c r="G10" s="18" t="n">
        <x:v>10000000</x:v>
      </x:c>
      <x:c r="H10" s="25" t="n">
        <x:v>0.15</x:v>
      </x:c>
      <x:c r="I10" s="18" t="n">
        <x:f>G10*H10</x:f>
        <x:v>1500000</x:v>
      </x:c>
    </x:row>
    <x:row r="11" ht="15" hidden="0" customHeight="1">
      <x:c r="A11" s="17" t="str">
        <x:v>As-of date</x:v>
      </x:c>
      <x:c r="B11" s="20" t="n">
        <x:v>46260</x:v>
      </x:c>
      <x:c r="C11" s="17" t="str">
        <x:v>date</x:v>
      </x:c>
      <x:c r="D11" s="17" t="str">
        <x:v>Evidence cutoff</x:v>
      </x:c>
      <x:c r="F11" s="24" t="str">
        <x:v>Total</x:v>
      </x:c>
      <x:c r="G11" s="24"/>
      <x:c r="H11" s="24"/>
      <x:c r="I11" s="26" t="n">
        <x:f>SUM(I7:I10)</x:f>
        <x:v>16750000</x:v>
      </x:c>
    </x:row>
    <x:row r="12" ht="15" hidden="0" customHeight="1">
      <x:c r="A12" s="17" t="str">
        <x:v>Required U.S. H100-equivalents</x:v>
      </x:c>
      <x:c r="B12" s="18" t="n">
        <x:f>B9*I11/B24</x:f>
        <x:v>35979846.92445279</x:v>
      </x:c>
      <x:c r="C12" s="17" t="str">
        <x:v>H100e</x:v>
      </x:c>
      <x:c r="D12" s="17" t="str">
        <x:v>Capacity required under the serving and workload assumptions below</x:v>
      </x:c>
    </x:row>
    <x:row r="13"/>
    <x:row r="14" ht="15" hidden="0" customHeight="1">
      <x:c r="A14" s="9" t="str">
        <x:v>SERVING ENVELOPE</x:v>
      </x:c>
      <x:c r="B14" s="9" t="str">
        <x:v>SERVING ENVELOPE</x:v>
      </x:c>
      <x:c r="C14" s="9" t="str">
        <x:v>SERVING ENVELOPE</x:v>
      </x:c>
      <x:c r="D14" s="9" t="str">
        <x:v>SERVING ENVELOPE</x:v>
      </x:c>
      <x:c r="F14" s="9" t="str">
        <x:v>LETTER-GRADE SCALE</x:v>
      </x:c>
      <x:c r="G14" s="9" t="str">
        <x:v>LETTER-GRADE SCALE</x:v>
      </x:c>
      <x:c r="H14" s="9" t="str">
        <x:v>LETTER-GRADE SCALE</x:v>
      </x:c>
    </x:row>
    <x:row r="15" ht="15" hidden="0" customHeight="1">
      <x:c r="A15" s="13" t="str">
        <x:v>Input</x:v>
      </x:c>
      <x:c r="B15" s="13" t="str">
        <x:v>Value</x:v>
      </x:c>
      <x:c r="C15" s="13" t="str">
        <x:v>Unit</x:v>
      </x:c>
      <x:c r="D15" s="13" t="str">
        <x:v>Meaning</x:v>
      </x:c>
      <x:c r="F15" s="13" t="str">
        <x:v>Letter</x:v>
      </x:c>
      <x:c r="G15" s="13" t="str">
        <x:v>Minimum score</x:v>
      </x:c>
      <x:c r="H15" s="13" t="str">
        <x:v>GPA</x:v>
      </x:c>
    </x:row>
    <x:row r="16" ht="15" hidden="0" customHeight="1">
      <x:c r="A16" s="17" t="str">
        <x:v>Dense 8-bit ops per H100e-second</x:v>
      </x:c>
      <x:c r="B16" s="21" t="n">
        <x:v>1979000000000000</x:v>
      </x:c>
      <x:c r="C16" s="17" t="str">
        <x:v>ops/s</x:v>
      </x:c>
      <x:c r="D16" s="17" t="str">
        <x:v>Epoch H100-equivalent convention</x:v>
      </x:c>
      <x:c r="F16" s="17" t="str">
        <x:v>A</x:v>
      </x:c>
      <x:c r="G16" s="19" t="n">
        <x:v>0.9</x:v>
      </x:c>
      <x:c r="H16" s="17" t="n">
        <x:v>4</x:v>
      </x:c>
    </x:row>
    <x:row r="17" ht="15" hidden="0" customHeight="1">
      <x:c r="A17" s="17" t="str">
        <x:v>Seconds per day</x:v>
      </x:c>
      <x:c r="B17" s="18" t="n">
        <x:v>86400</x:v>
      </x:c>
      <x:c r="C17" s="17" t="str">
        <x:v>seconds</x:v>
      </x:c>
      <x:c r="D17" s="17" t="str">
        <x:v>Calendar conversion</x:v>
      </x:c>
      <x:c r="F17" s="17" t="str">
        <x:v>B</x:v>
      </x:c>
      <x:c r="G17" s="19" t="n">
        <x:v>0.8</x:v>
      </x:c>
      <x:c r="H17" s="17" t="n">
        <x:v>3</x:v>
      </x:c>
    </x:row>
    <x:row r="18" ht="15" hidden="0" customHeight="1">
      <x:c r="A18" s="17" t="str">
        <x:v>Fleet share allocated to inference</x:v>
      </x:c>
      <x:c r="B18" s="19" t="n">
        <x:v>0.4</x:v>
      </x:c>
      <x:c r="C18" s="17" t="str">
        <x:v>%</x:v>
      </x:c>
      <x:c r="D18" s="17" t="str">
        <x:v>Remainder trains, fine-tunes, idles, or serves other workloads</x:v>
      </x:c>
      <x:c r="F18" s="17" t="str">
        <x:v>C</x:v>
      </x:c>
      <x:c r="G18" s="19" t="n">
        <x:v>0.7</x:v>
      </x:c>
      <x:c r="H18" s="17" t="n">
        <x:v>2</x:v>
      </x:c>
    </x:row>
    <x:row r="19" ht="15" hidden="0" customHeight="1">
      <x:c r="A19" s="17" t="str">
        <x:v>Sustained serving utilization</x:v>
      </x:c>
      <x:c r="B19" s="19" t="n">
        <x:v>0.35</x:v>
      </x:c>
      <x:c r="C19" s="17" t="str">
        <x:v>% of peak</x:v>
      </x:c>
      <x:c r="D19" s="17" t="str">
        <x:v>Latency, networking, availability, and utilization losses</x:v>
      </x:c>
      <x:c r="F19" s="17" t="str">
        <x:v>D</x:v>
      </x:c>
      <x:c r="G19" s="19" t="n">
        <x:v>0.6</x:v>
      </x:c>
      <x:c r="H19" s="17" t="n">
        <x:v>1</x:v>
      </x:c>
    </x:row>
    <x:row r="20" ht="15" hidden="0" customHeight="1">
      <x:c r="A20" s="17" t="str">
        <x:v>Active model parameters</x:v>
      </x:c>
      <x:c r="B20" s="21" t="n">
        <x:v>100000000000</x:v>
      </x:c>
      <x:c r="C20" s="17" t="str">
        <x:v>parameters</x:v>
      </x:c>
      <x:c r="D20" s="17" t="str">
        <x:v>Illustrative 100B active-parameter equivalent</x:v>
      </x:c>
      <x:c r="F20" s="17" t="str">
        <x:v>F</x:v>
      </x:c>
      <x:c r="G20" s="19" t="n">
        <x:v>0</x:v>
      </x:c>
      <x:c r="H20" s="17" t="n">
        <x:v>0</x:v>
      </x:c>
    </x:row>
    <x:row r="21" ht="15" hidden="0" customHeight="1">
      <x:c r="A21" s="17" t="str">
        <x:v>Forward-pass ops per parameter-token</x:v>
      </x:c>
      <x:c r="B21" s="22" t="n">
        <x:v>2</x:v>
      </x:c>
      <x:c r="C21" s="17" t="str">
        <x:v>ops</x:v>
      </x:c>
      <x:c r="D21" s="17" t="str">
        <x:v>Transformer rule of thumb</x:v>
      </x:c>
    </x:row>
    <x:row r="22" ht="15" hidden="0" customHeight="1">
      <x:c r="A22" s="17" t="str">
        <x:v>System overhead multiplier</x:v>
      </x:c>
      <x:c r="B22" s="22" t="n">
        <x:v>1.5</x:v>
      </x:c>
      <x:c r="C22" s="17" t="str">
        <x:v>x</x:v>
      </x:c>
      <x:c r="D22" s="17" t="str">
        <x:v>Attention, routing, communication, and non-model overhead</x:v>
      </x:c>
    </x:row>
    <x:row r="23" ht="15" hidden="0" customHeight="1">
      <x:c r="A23" s="17" t="str">
        <x:v>Serving-goodput multiplier</x:v>
      </x:c>
      <x:c r="B23" s="22" t="n">
        <x:v>1</x:v>
      </x:c>
      <x:c r="C23" s="17" t="str">
        <x:v>x</x:v>
      </x:c>
      <x:c r="D23" s="17" t="str">
        <x:v>No extra chip multiplier beyond H100e in the base case</x:v>
      </x:c>
    </x:row>
    <x:row r="24" ht="15" hidden="0" customHeight="1">
      <x:c r="A24" s="17" t="str">
        <x:v>Compute-equivalent tokens / H100e / day</x:v>
      </x:c>
      <x:c r="B24" s="18" t="n">
        <x:f>B16*B17*B18*B19*B23/(B20*B21*B22)</x:f>
        <x:v>79793280</x:v>
      </x:c>
      <x:c r="C24" s="17" t="str">
        <x:v>tokens/day</x:v>
      </x:c>
      <x:c r="D24" s="17" t="str">
        <x:v>Derived serving supply per H100-equivalent</x:v>
      </x:c>
    </x:row>
    <x:row r="25"/>
    <x:row r="26" ht="15" hidden="0" customHeight="1">
      <x:c r="A26" s="9" t="str">
        <x:v>QUARTERLY GROWTH MODEL</x:v>
      </x:c>
      <x:c r="B26" s="9" t="str">
        <x:v>QUARTERLY GROWTH MODEL</x:v>
      </x:c>
      <x:c r="C26" s="9" t="str">
        <x:v>QUARTERLY GROWTH MODEL</x:v>
      </x:c>
      <x:c r="D26" s="9" t="str">
        <x:v>QUARTERLY GROWTH MODEL</x:v>
      </x:c>
    </x:row>
    <x:row r="27" ht="15" hidden="0" customHeight="1">
      <x:c r="A27" s="13" t="str">
        <x:v>Parameter</x:v>
      </x:c>
      <x:c r="B27" s="13" t="str">
        <x:v>Value</x:v>
      </x:c>
      <x:c r="C27" s="13" t="str">
        <x:v>Unit</x:v>
      </x:c>
      <x:c r="D27" s="13" t="str">
        <x:v>Rule</x:v>
      </x:c>
    </x:row>
    <x:row r="28" ht="15" hidden="0" customHeight="1">
      <x:c r="A28" s="17" t="str">
        <x:v>Log-capacity acceleration</x:v>
      </x:c>
      <x:c r="B28" s="27" t="n">
        <x:f>SLOPE('Quarterly Model'!$G$7:$G$16,'Quarterly Model'!$A$7:$A$16)</x:f>
        <x:v>-0.03112621365907439</x:v>
      </x:c>
      <x:c r="C28" s="17" t="str">
        <x:v>log2 H100e / quarter²</x:v>
      </x:c>
      <x:c r="D28" s="17" t="str">
        <x:v>Slope of observed quarterly log-growth rates</x:v>
      </x:c>
    </x:row>
    <x:row r="29" ht="15" hidden="0" customHeight="1">
      <x:c r="A29" s="17" t="str">
        <x:v>Growth-rate intercept</x:v>
      </x:c>
      <x:c r="B29" s="27" t="n">
        <x:f>AVERAGE('Quarterly Model'!$G$7:$G$16)-B28*AVERAGE('Quarterly Model'!$A$7:$A$16)</x:f>
        <x:v>0.7805896180694465</x:v>
      </x:c>
      <x:c r="C29" s="17" t="str">
        <x:v>log2 H100e / quarter</x:v>
      </x:c>
      <x:c r="D29" s="17" t="str">
        <x:v>OLS intercept for observed quarterly growth</x:v>
      </x:c>
    </x:row>
    <x:row r="30" ht="15" hidden="0" customHeight="1">
      <x:c r="A30" s="17" t="str">
        <x:v>Current smoothed velocity</x:v>
      </x:c>
      <x:c r="B30" s="27" t="n">
        <x:f>B29+B28*B10</x:f>
        <x:v>0.4382012678196282</x:v>
      </x:c>
      <x:c r="C30" s="17" t="str">
        <x:v>log2 H100e / quarter</x:v>
      </x:c>
      <x:c r="D30" s="17" t="str">
        <x:v>Intercept + acceleration × current quarter</x:v>
      </x:c>
    </x:row>
    <x:row r="31" ht="15" hidden="0" customHeight="1">
      <x:c r="A31" s="17" t="str">
        <x:v>First model row at full supply threshold</x:v>
      </x:c>
      <x:c r="B31" s="17" t="n">
        <x:f>MATCH(1,'Quarterly Model'!$J$6:$J$25,0)</x:f>
        <x:v>15</x:v>
      </x:c>
      <x:c r="C31" s="17" t="str">
        <x:v>position</x:v>
      </x:c>
      <x:c r="D31" s="17" t="str">
        <x:v>First score that reaches 100%</x:v>
      </x:c>
    </x:row>
    <x:row r="32" ht="15" hidden="0" customHeight="1">
      <x:c r="A32" s="17" t="str">
        <x:v>Projected supply crossing</x:v>
      </x:c>
      <x:c r="B32" s="20" t="n">
        <x:f>INDEX('Quarterly Model'!$C$6:$C$25,B31-1)+(B12-INDEX('Quarterly Model'!$E$6:$E$25,B31-1))/(INDEX('Quarterly Model'!$E$6:$E$25,B31)-INDEX('Quarterly Model'!$E$6:$E$25,B31-1))*(INDEX('Quarterly Model'!$C$6:$C$25,B31)-INDEX('Quarterly Model'!$C$6:$C$25,B31-1))</x:f>
        <x:v>46632.108708204854</x:v>
      </x:c>
      <x:c r="C32" s="17" t="str">
        <x:v>date</x:v>
      </x:c>
      <x:c r="D32" s="17" t="str">
        <x:v>Linear interpolation between surrounding capacity points</x:v>
      </x:c>
    </x:row>
    <x:row r="33" ht="15" hidden="0" customHeight="1">
      <x:c r="A33" s="17" t="str">
        <x:v>Capability threshold</x:v>
      </x:c>
      <x:c r="B33" s="19" t="n">
        <x:v>0.6</x:v>
      </x:c>
      <x:c r="C33" s="17" t="str">
        <x:v>%</x:v>
      </x:c>
      <x:c r="D33" s="17" t="str">
        <x:v>First grade above F</x:v>
      </x:c>
    </x:row>
    <x:row r="34" ht="15" hidden="0" customHeight="1">
      <x:c r="A34" s="17" t="str">
        <x:v>Projected capability crossing</x:v>
      </x:c>
      <x:c r="B34" s="20" t="n">
        <x:v>46779</x:v>
      </x:c>
      <x:c r="C34" s="17" t="str">
        <x:v>date</x:v>
      </x:c>
      <x:c r="D34" s="17" t="str">
        <x:v>Interpolated from the capability report card</x:v>
      </x:c>
    </x:row>
    <x:row r="35" ht="15" hidden="0" customHeight="1">
      <x:c r="A35" s="17" t="str">
        <x:v>Countdown target</x:v>
      </x:c>
      <x:c r="B35" s="20" t="n">
        <x:f>MAX(B32,B34)</x:f>
        <x:v>46779</x:v>
      </x:c>
      <x:c r="C35" s="17" t="str">
        <x:v>date</x:v>
      </x:c>
      <x:c r="D35" s="17" t="str">
        <x:v>Later of supply and capability crossings</x:v>
      </x:c>
    </x:row>
  </x:sheetData>
  <x:mergeCells>
    <x:mergeCell ref="A1:I2"/>
    <x:mergeCell ref="A3:I3"/>
    <x:mergeCell ref="A5:D5"/>
    <x:mergeCell ref="A14:D14"/>
    <x:mergeCell ref="F5:I5"/>
    <x:mergeCell ref="F14:H14"/>
    <x:mergeCell ref="A26:D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3" hidden="0" customWidth="1"/>
    <x:col min="5" max="5" width="18" hidden="0" customWidth="1"/>
    <x:col min="6" max="6" width="22" hidden="0" customWidth="1"/>
    <x:col min="7" max="7" width="58" hidden="0" customWidth="1"/>
  </x:cols>
  <x:sheetData>
    <x:row r="1" ht="28" customHeight="1">
      <x:c r="A1" s="3" t="str">
        <x:v>U.S. Operational AI-Compute Observations</x:v>
      </x:c>
      <x:c r="B1" s="3" t="str">
        <x:v>U.S. Operational AI-Compute Observations</x:v>
      </x:c>
      <x:c r="C1" s="3" t="str">
        <x:v>U.S. Operational AI-Compute Observations</x:v>
      </x:c>
      <x:c r="D1" s="3" t="str">
        <x:v>U.S. Operational AI-Compute Observations</x:v>
      </x:c>
      <x:c r="E1" s="3" t="str">
        <x:v>U.S. Operational AI-Compute Observations</x:v>
      </x:c>
      <x:c r="F1" s="3" t="str">
        <x:v>U.S. Operational AI-Compute Observations</x:v>
      </x:c>
      <x:c r="G1" s="3" t="str">
        <x:v>U.S. Operational AI-Compute Observations</x:v>
      </x:c>
    </x:row>
    <x:row r="2" ht="28" customHeight="1">
      <x:c r="A2" s="3" t="str">
        <x:v>U.S. Operational AI-Compute Observations</x:v>
      </x:c>
      <x:c r="B2" s="3" t="str">
        <x:v>U.S. Operational AI-Compute Observations</x:v>
      </x:c>
      <x:c r="C2" s="3" t="str">
        <x:v>U.S. Operational AI-Compute Observations</x:v>
      </x:c>
      <x:c r="D2" s="3" t="str">
        <x:v>U.S. Operational AI-Compute Observations</x:v>
      </x:c>
      <x:c r="E2" s="3" t="str">
        <x:v>U.S. Operational AI-Compute Observations</x:v>
      </x:c>
      <x:c r="F2" s="3" t="str">
        <x:v>U.S. Operational AI-Compute Observations</x:v>
      </x:c>
      <x:c r="G2" s="3" t="str">
        <x:v>U.S. Operational AI-Compute Observations</x:v>
      </x:c>
    </x:row>
    <x:row r="3" ht="15" hidden="0" customHeight="1">
      <x:c r="A3" s="6" t="str">
        <x:v>For each quarter cutoff, sum the latest H100-equivalent state for every Epoch-covered U.S. data center. 2026-Q3 is quarter-to-date through 2026-08-26.</x:v>
      </x:c>
      <x:c r="B3" s="6" t="str">
        <x:v>For each quarter cutoff, sum the latest H100-equivalent state for every Epoch-covered U.S. data center. 2026-Q3 is quarter-to-date through 2026-08-26.</x:v>
      </x:c>
      <x:c r="C3" s="6" t="str">
        <x:v>For each quarter cutoff, sum the latest H100-equivalent state for every Epoch-covered U.S. data center. 2026-Q3 is quarter-to-date through 2026-08-26.</x:v>
      </x:c>
      <x:c r="D3" s="6" t="str">
        <x:v>For each quarter cutoff, sum the latest H100-equivalent state for every Epoch-covered U.S. data center. 2026-Q3 is quarter-to-date through 2026-08-26.</x:v>
      </x:c>
      <x:c r="E3" s="6" t="str">
        <x:v>For each quarter cutoff, sum the latest H100-equivalent state for every Epoch-covered U.S. data center. 2026-Q3 is quarter-to-date through 2026-08-26.</x:v>
      </x:c>
      <x:c r="F3" s="6" t="str">
        <x:v>For each quarter cutoff, sum the latest H100-equivalent state for every Epoch-covered U.S. data center. 2026-Q3 is quarter-to-date through 2026-08-26.</x:v>
      </x:c>
      <x:c r="G3" s="6" t="str">
        <x:v>For each quarter cutoff, sum the latest H100-equivalent state for every Epoch-covered U.S. data center. 2026-Q3 is quarter-to-date through 2026-08-26.</x:v>
      </x:c>
    </x:row>
    <x:row r="4"/>
    <x:row r="5" ht="15" hidden="0" customHeight="1">
      <x:c r="A5" s="13" t="str">
        <x:v>Quarter index</x:v>
      </x:c>
      <x:c r="B5" s="13" t="str">
        <x:v>Quarter</x:v>
      </x:c>
      <x:c r="C5" s="13" t="str">
        <x:v>Cutoff date</x:v>
      </x:c>
      <x:c r="D5" s="13" t="str">
        <x:v>U.S. operational H100e</x:v>
      </x:c>
      <x:c r="E5" s="13" t="str">
        <x:v>Operational sites</x:v>
      </x:c>
      <x:c r="F5" s="13" t="str">
        <x:v>Evidence class</x:v>
      </x:c>
      <x:c r="G5" s="13" t="str">
        <x:v>Source URL</x:v>
      </x:c>
    </x:row>
    <x:row r="6" ht="15" hidden="0" customHeight="1">
      <x:c r="A6" s="17" t="n">
        <x:v>1</x:v>
      </x:c>
      <x:c r="B6" s="17" t="str">
        <x:v>2024-Q1</x:v>
      </x:c>
      <x:c r="C6" s="20" t="n">
        <x:v>45382</x:v>
      </x:c>
      <x:c r="D6" s="18" t="n">
        <x:v>245664</x:v>
      </x:c>
      <x:c r="E6" s="18" t="n">
        <x:v>8</x:v>
      </x:c>
      <x:c r="F6" s="17" t="str">
        <x:v>Observed quarter-end</x:v>
      </x:c>
      <x:c r="G6" s="17" t="str">
        <x:v>https://epoch.ai/data/data_centers/data_center_timelines.csv</x:v>
      </x:c>
    </x:row>
    <x:row r="7" ht="15" hidden="0" customHeight="1">
      <x:c r="A7" s="17" t="n">
        <x:v>2</x:v>
      </x:c>
      <x:c r="B7" s="17" t="str">
        <x:v>2024-Q2</x:v>
      </x:c>
      <x:c r="C7" s="20" t="n">
        <x:v>45473</x:v>
      </x:c>
      <x:c r="D7" s="18" t="n">
        <x:v>475238</x:v>
      </x:c>
      <x:c r="E7" s="18" t="n">
        <x:v>13</x:v>
      </x:c>
      <x:c r="F7" s="17" t="str">
        <x:v>Observed quarter-end</x:v>
      </x:c>
      <x:c r="G7" s="17" t="str">
        <x:v>https://epoch.ai/data/data_centers/data_center_timelines.csv</x:v>
      </x:c>
    </x:row>
    <x:row r="8" ht="15" hidden="0" customHeight="1">
      <x:c r="A8" s="17" t="n">
        <x:v>3</x:v>
      </x:c>
      <x:c r="B8" s="17" t="str">
        <x:v>2024-Q3</x:v>
      </x:c>
      <x:c r="C8" s="20" t="n">
        <x:v>45565</x:v>
      </x:c>
      <x:c r="D8" s="18" t="n">
        <x:v>722180</x:v>
      </x:c>
      <x:c r="E8" s="18" t="n">
        <x:v>16</x:v>
      </x:c>
      <x:c r="F8" s="17" t="str">
        <x:v>Observed quarter-end</x:v>
      </x:c>
      <x:c r="G8" s="17" t="str">
        <x:v>https://epoch.ai/data/data_centers/data_center_timelines.csv</x:v>
      </x:c>
    </x:row>
    <x:row r="9" ht="15" hidden="0" customHeight="1">
      <x:c r="A9" s="17" t="n">
        <x:v>4</x:v>
      </x:c>
      <x:c r="B9" s="17" t="str">
        <x:v>2024-Q4</x:v>
      </x:c>
      <x:c r="C9" s="20" t="n">
        <x:v>45657</x:v>
      </x:c>
      <x:c r="D9" s="18" t="n">
        <x:v>1012483</x:v>
      </x:c>
      <x:c r="E9" s="18" t="n">
        <x:v>18</x:v>
      </x:c>
      <x:c r="F9" s="17" t="str">
        <x:v>Observed quarter-end</x:v>
      </x:c>
      <x:c r="G9" s="17" t="str">
        <x:v>https://epoch.ai/data/data_centers/data_center_timelines.csv</x:v>
      </x:c>
    </x:row>
    <x:row r="10" ht="15" hidden="0" customHeight="1">
      <x:c r="A10" s="17" t="n">
        <x:v>5</x:v>
      </x:c>
      <x:c r="B10" s="17" t="str">
        <x:v>2025-Q1</x:v>
      </x:c>
      <x:c r="C10" s="20" t="n">
        <x:v>45747</x:v>
      </x:c>
      <x:c r="D10" s="18" t="n">
        <x:v>1351240</x:v>
      </x:c>
      <x:c r="E10" s="18" t="n">
        <x:v>20</x:v>
      </x:c>
      <x:c r="F10" s="17" t="str">
        <x:v>Observed quarter-end</x:v>
      </x:c>
      <x:c r="G10" s="17" t="str">
        <x:v>https://epoch.ai/data/data_centers/data_center_timelines.csv</x:v>
      </x:c>
    </x:row>
    <x:row r="11" ht="15" hidden="0" customHeight="1">
      <x:c r="A11" s="17" t="n">
        <x:v>6</x:v>
      </x:c>
      <x:c r="B11" s="17" t="str">
        <x:v>2025-Q2</x:v>
      </x:c>
      <x:c r="C11" s="20" t="n">
        <x:v>45838</x:v>
      </x:c>
      <x:c r="D11" s="18" t="n">
        <x:v>2386876</x:v>
      </x:c>
      <x:c r="E11" s="18" t="n">
        <x:v>23</x:v>
      </x:c>
      <x:c r="F11" s="17" t="str">
        <x:v>Observed quarter-end</x:v>
      </x:c>
      <x:c r="G11" s="17" t="str">
        <x:v>https://epoch.ai/data/data_centers/data_center_timelines.csv</x:v>
      </x:c>
    </x:row>
    <x:row r="12" ht="15" hidden="0" customHeight="1">
      <x:c r="A12" s="17" t="n">
        <x:v>7</x:v>
      </x:c>
      <x:c r="B12" s="17" t="str">
        <x:v>2025-Q3</x:v>
      </x:c>
      <x:c r="C12" s="20" t="n">
        <x:v>45930</x:v>
      </x:c>
      <x:c r="D12" s="18" t="n">
        <x:v>3139660</x:v>
      </x:c>
      <x:c r="E12" s="18" t="n">
        <x:v>28</x:v>
      </x:c>
      <x:c r="F12" s="17" t="str">
        <x:v>Observed quarter-end</x:v>
      </x:c>
      <x:c r="G12" s="17" t="str">
        <x:v>https://epoch.ai/data/data_centers/data_center_timelines.csv</x:v>
      </x:c>
    </x:row>
    <x:row r="13" ht="15" hidden="0" customHeight="1">
      <x:c r="A13" s="17" t="n">
        <x:v>8</x:v>
      </x:c>
      <x:c r="B13" s="17" t="str">
        <x:v>2025-Q4</x:v>
      </x:c>
      <x:c r="C13" s="20" t="n">
        <x:v>46022</x:v>
      </x:c>
      <x:c r="D13" s="18" t="n">
        <x:v>5291375</x:v>
      </x:c>
      <x:c r="E13" s="18" t="n">
        <x:v>34</x:v>
      </x:c>
      <x:c r="F13" s="17" t="str">
        <x:v>Observed quarter-end</x:v>
      </x:c>
      <x:c r="G13" s="17" t="str">
        <x:v>https://epoch.ai/data/data_centers/data_center_timelines.csv</x:v>
      </x:c>
    </x:row>
    <x:row r="14" ht="15" hidden="0" customHeight="1">
      <x:c r="A14" s="17" t="n">
        <x:v>9</x:v>
      </x:c>
      <x:c r="B14" s="17" t="str">
        <x:v>2026-Q1</x:v>
      </x:c>
      <x:c r="C14" s="20" t="n">
        <x:v>46112</x:v>
      </x:c>
      <x:c r="D14" s="18" t="n">
        <x:v>6301294</x:v>
      </x:c>
      <x:c r="E14" s="18" t="n">
        <x:v>40</x:v>
      </x:c>
      <x:c r="F14" s="17" t="str">
        <x:v>Observed quarter-end</x:v>
      </x:c>
      <x:c r="G14" s="17" t="str">
        <x:v>https://epoch.ai/data/data_centers/data_center_timelines.csv</x:v>
      </x:c>
    </x:row>
    <x:row r="15" ht="15" hidden="0" customHeight="1">
      <x:c r="A15" s="17" t="n">
        <x:v>10</x:v>
      </x:c>
      <x:c r="B15" s="17" t="str">
        <x:v>2026-Q2</x:v>
      </x:c>
      <x:c r="C15" s="20" t="n">
        <x:v>46203</x:v>
      </x:c>
      <x:c r="D15" s="18" t="n">
        <x:v>11223855</x:v>
      </x:c>
      <x:c r="E15" s="18" t="n">
        <x:v>54</x:v>
      </x:c>
      <x:c r="F15" s="17" t="str">
        <x:v>Observed quarter-end</x:v>
      </x:c>
      <x:c r="G15" s="17" t="str">
        <x:v>https://epoch.ai/data/data_centers/data_center_timelines.csv</x:v>
      </x:c>
    </x:row>
    <x:row r="16" ht="15" hidden="0" customHeight="1">
      <x:c r="A16" s="17" t="n">
        <x:v>11</x:v>
      </x:c>
      <x:c r="B16" s="17" t="str">
        <x:v>2026-Q3</x:v>
      </x:c>
      <x:c r="C16" s="20" t="n">
        <x:v>46260</x:v>
      </x:c>
      <x:c r="D16" s="18" t="n">
        <x:v>13524006</x:v>
      </x:c>
      <x:c r="E16" s="18" t="n">
        <x:v>58</x:v>
      </x:c>
      <x:c r="F16" s="17" t="str">
        <x:v>Observed QTD</x:v>
      </x:c>
      <x:c r="G16" s="17" t="str">
        <x:v>https://epoch.ai/data/data_centers/data_center_timelines.csv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5252af36a5c046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5" hidden="0" customWidth="1"/>
    <x:col min="4" max="4" width="18" hidden="0" customWidth="1"/>
    <x:col min="5" max="5" width="58" hidden="0" customWidth="1"/>
    <x:col min="6" max="6" width="58" hidden="0" customWidth="1"/>
  </x:cols>
  <x:sheetData>
    <x:row r="1" ht="28" customHeight="1">
      <x:c r="A1" s="3" t="str">
        <x:v>Source Registry</x:v>
      </x:c>
      <x:c r="B1" s="3" t="str">
        <x:v>Source Registry</x:v>
      </x:c>
      <x:c r="C1" s="3" t="str">
        <x:v>Source Registry</x:v>
      </x:c>
      <x:c r="D1" s="3" t="str">
        <x:v>Source Registry</x:v>
      </x:c>
      <x:c r="E1" s="3" t="str">
        <x:v>Source Registry</x:v>
      </x:c>
      <x:c r="F1" s="3" t="str">
        <x:v>Source Registry</x:v>
      </x:c>
    </x:row>
    <x:row r="2" ht="28" customHeight="1">
      <x:c r="A2" s="3" t="str">
        <x:v>Source Registry</x:v>
      </x:c>
      <x:c r="B2" s="3" t="str">
        <x:v>Source Registry</x:v>
      </x:c>
      <x:c r="C2" s="3" t="str">
        <x:v>Source Registry</x:v>
      </x:c>
      <x:c r="D2" s="3" t="str">
        <x:v>Source Registry</x:v>
      </x:c>
      <x:c r="E2" s="3" t="str">
        <x:v>Source Registry</x:v>
      </x:c>
      <x:c r="F2" s="3" t="str">
        <x:v>Source Registry</x:v>
      </x:c>
    </x:row>
    <x:row r="3" ht="15" hidden="0" customHeight="1">
      <x:c r="A3" s="6" t="str">
        <x:v>Primary inputs and the main limitations that matter for the compute crossing date.</x:v>
      </x:c>
      <x:c r="B3" s="6" t="str">
        <x:v>Primary inputs and the main limitations that matter for the compute crossing date.</x:v>
      </x:c>
      <x:c r="C3" s="6" t="str">
        <x:v>Primary inputs and the main limitations that matter for the compute crossing date.</x:v>
      </x:c>
      <x:c r="D3" s="6" t="str">
        <x:v>Primary inputs and the main limitations that matter for the compute crossing date.</x:v>
      </x:c>
      <x:c r="E3" s="6" t="str">
        <x:v>Primary inputs and the main limitations that matter for the compute crossing date.</x:v>
      </x:c>
      <x:c r="F3" s="6" t="str">
        <x:v>Primary inputs and the main limitations that matter for the compute crossing date.</x:v>
      </x:c>
    </x:row>
    <x:row r="4"/>
    <x:row r="5" ht="15" hidden="0" customHeight="1">
      <x:c r="A5" s="13" t="str">
        <x:v>Source ID</x:v>
      </x:c>
      <x:c r="B5" s="13" t="str">
        <x:v>Publisher</x:v>
      </x:c>
      <x:c r="C5" s="13" t="str">
        <x:v>Title / dataset</x:v>
      </x:c>
      <x:c r="D5" s="13" t="str">
        <x:v>Updated / accessed</x:v>
      </x:c>
      <x:c r="E5" s="13" t="str">
        <x:v>URL / path</x:v>
      </x:c>
      <x:c r="F5" s="13" t="str">
        <x:v>Use and limitation</x:v>
      </x:c>
    </x:row>
    <x:row r="6" ht="15" hidden="0" customHeight="1">
      <x:c r="A6" s="17" t="str">
        <x:v>SRC-001</x:v>
      </x:c>
      <x:c r="B6" s="17" t="str">
        <x:v>Epoch AI</x:v>
      </x:c>
      <x:c r="C6" s="17" t="str">
        <x:v>AI Data Centers</x:v>
      </x:c>
      <x:c r="D6" s="20" t="n">
        <x:v>46260</x:v>
      </x:c>
      <x:c r="E6" s="17" t="str">
        <x:v>https://epoch.ai/data/ai-data-centers</x:v>
      </x:c>
      <x:c r="F6" s="17" t="str">
        <x:v>Dataset scope, H100e convention, coverage, and uncertainty</x:v>
      </x:c>
    </x:row>
    <x:row r="7" ht="15" hidden="0" customHeight="1">
      <x:c r="A7" s="17" t="str">
        <x:v>SRC-002</x:v>
      </x:c>
      <x:c r="B7" s="17" t="str">
        <x:v>Epoch AI</x:v>
      </x:c>
      <x:c r="C7" s="17" t="str">
        <x:v>AI Data Center Timelines CSV</x:v>
      </x:c>
      <x:c r="D7" s="20" t="n">
        <x:v>46259</x:v>
      </x:c>
      <x:c r="E7" s="17" t="str">
        <x:v>https://epoch.ai/data/data_centers/data_center_timelines.csv</x:v>
      </x:c>
      <x:c r="F7" s="17" t="str">
        <x:v>Quarterly U.S. operational H100e reconstructed from latest site state at each cutoff</x:v>
      </x:c>
    </x:row>
    <x:row r="8" ht="15" hidden="0" customHeight="1">
      <x:c r="A8" s="17" t="str">
        <x:v>SRC-003</x:v>
      </x:c>
      <x:c r="B8" s="17" t="str">
        <x:v>Epoch AI</x:v>
      </x:c>
      <x:c r="C8" s="17" t="str">
        <x:v>AI Data Centers CSV</x:v>
      </x:c>
      <x:c r="D8" s="20" t="n">
        <x:v>46259</x:v>
      </x:c>
      <x:c r="E8" s="17" t="str">
        <x:v>https://epoch.ai/data/data_centers/data_centers.csv</x:v>
      </x:c>
      <x:c r="F8" s="17" t="str">
        <x:v>Country filter and current site registry</x:v>
      </x:c>
    </x:row>
    <x:row r="9" ht="21.600000381469727" hidden="0" customHeight="1">
      <x:c r="A9" s="17" t="str">
        <x:v>SRC-004</x:v>
      </x:c>
      <x:c r="B9" s="17" t="str">
        <x:v>U.S. Census Bureau</x:v>
      </x:c>
      <x:c r="C9" s="17" t="str">
        <x:v>Population on a Date</x:v>
      </x:c>
      <x:c r="D9" s="20" t="n">
        <x:v>46229</x:v>
      </x:c>
      <x:c r="E9" s="17" t="str">
        <x:v>https://www.census.gov/popclock/</x:v>
      </x:c>
      <x:c r="F9" s="17" t="str">
        <x:v>Model uses the user-specified rounded estimate of 342.8M residents; the selected target is 50%, or 171.4M users</x:v>
      </x:c>
    </x:row>
    <x:row r="10" ht="32.400001525878906" hidden="0" customHeight="1">
      <x:c r="A10" s="17" t="str">
        <x:v>SRC-005</x:v>
      </x:c>
      <x:c r="B10" s="17" t="str">
        <x:v>Personal AI forecast</x:v>
      </x:c>
      <x:c r="C10" s="17" t="str">
        <x:v>System capability and data-center buildouts workbook</x:v>
      </x:c>
      <x:c r="D10" s="20" t="n">
        <x:v>46260</x:v>
      </x:c>
      <x:c r="E10" s="17" t="str">
        <x:v>C:/Users/buddy/OneDrive/Documents/ChatGPT/Personal AI Prediction/outputs/01a03a56-1778-7d40-9270-29ff8429deb0/personal-ai-system-capability-and-data-center-buildouts.xlsx</x:v>
      </x:c>
      <x:c r="F10" s="17" t="str">
        <x:v>Serving envelope and high-autonomy token mix; assumptions remain editable</x:v>
      </x:c>
    </x:row>
    <x:row r="11" ht="32.400001525878906" hidden="0" customHeight="1">
      <x:c r="A11" s="17" t="str">
        <x:v>SRC-006</x:v>
      </x:c>
      <x:c r="B11" s="17" t="str">
        <x:v>Personal AI forecast</x:v>
      </x:c>
      <x:c r="C11" s="17" t="str">
        <x:v>Model-harness capability report card</x:v>
      </x:c>
      <x:c r="D11" s="20" t="n">
        <x:v>46260</x:v>
      </x:c>
      <x:c r="E11" s="17" t="str">
        <x:v>C:/Users/buddy/OneDrive/Documents/ChatGPT/Personal AI Prediction/outputs/01a03a56-1778-7d40-9270-29ff8429deb0/personal-ai-four-year-capability-report-card.xlsx</x:v>
      </x:c>
      <x:c r="F11" s="17" t="str">
        <x:v>Capability crosses 60% by interpolation around 2028-01-27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41270e56dbdd4721"/>
  </x:tableParts>
</x:worksheet>
</file>