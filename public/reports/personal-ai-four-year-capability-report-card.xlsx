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15ae9267a84f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961da4f83074f3f"/>
    <x:sheet xmlns:r="http://schemas.openxmlformats.org/officeDocument/2006/relationships" name="Report Card" sheetId="2" r:id="Rcd63008d4b924616"/>
    <x:sheet xmlns:r="http://schemas.openxmlformats.org/officeDocument/2006/relationships" name="Observations" sheetId="3" r:id="R62618f6d845e409a"/>
    <x:sheet xmlns:r="http://schemas.openxmlformats.org/officeDocument/2006/relationships" name="Catalog" sheetId="4" r:id="Rd7f859afaa514a1b"/>
    <x:sheet xmlns:r="http://schemas.openxmlformats.org/officeDocument/2006/relationships" name="Model" sheetId="5" r:id="R188afe41349a4c82"/>
    <x:sheet xmlns:r="http://schemas.openxmlformats.org/officeDocument/2006/relationships" name="Methodology" sheetId="6" r:id="R286c4f44fae843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yyyy-mm-dd"/>
    <x:numFmt numFmtId="201" formatCode="0%"/>
    <x:numFmt numFmtId="202" formatCode="0.0%"/>
    <x:numFmt numFmtId="203" formatCode="0.000"/>
    <x:numFmt numFmtId="204" formatCode="0.0"/>
    <x:numFmt numFmtId="205" formatCode="0"/>
    <x:numFmt numFmtId="206" formatCode="+0.000;-0.000;0.000"/>
    <x:numFmt numFmtId="207" formatCode="0.00"/>
  </x:numFmts>
  <x:fonts count="8">
    <x:font>
      <x:sz val="11"/>
      <x:name val="Carlito"/>
    </x:font>
    <x:font>
      <x:b/>
      <x:sz val="18"/>
      <x:color rgb="FFFFFFFF"/>
      <x:name val="Carlito"/>
    </x:font>
    <x:font>
      <x:sz val="10"/>
      <x:color rgb="FFC9D7E3"/>
      <x:name val="Carlito"/>
    </x:font>
    <x:font>
      <x:b/>
      <x:sz val="11"/>
      <x:color rgb="FFFFFFFF"/>
      <x:name val="Carlito"/>
    </x:font>
    <x:font>
      <x:sz val="9"/>
      <x:color rgb="FF17212B"/>
      <x:name val="Carlito"/>
    </x:font>
    <x:font>
      <x:b/>
      <x:sz val="12"/>
      <x:color rgb="FF0F766E"/>
      <x:name val="Carlito"/>
    </x:font>
    <x:font>
      <x:b/>
      <x:sz val="24"/>
      <x:color rgb="FF0B1F33"/>
      <x:name val="Carlito"/>
    </x:font>
    <x:font>
      <x:b/>
      <x:sz val="9"/>
      <x:color rgb="FF17212B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0F766E"/>
      </x:patternFill>
    </x:fill>
    <x:fill>
      <x:patternFill patternType="solid">
        <x:fgColor rgb="FFDDF4F1"/>
      </x:patternFill>
    </x:fill>
    <x:fill>
      <x:patternFill patternType="solid">
        <x:fgColor rgb="FFC58B1B"/>
      </x:patternFill>
    </x:fill>
    <x:fill>
      <x:patternFill patternType="solid">
        <x:fgColor rgb="FFF0F4F7"/>
      </x:patternFill>
    </x:fill>
    <x:fill>
      <x:patternFill patternType="solid">
        <x:fgColor rgb="FFCFE3F5"/>
      </x:patternFill>
    </x:fill>
    <x:fill>
      <x:patternFill patternType="solid">
        <x:fgColor rgb="FFFFF4D6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7DEE5"/>
      </x:left>
      <x:right style="thin">
        <x:color rgb="FFD7DEE5"/>
      </x:right>
      <x:top style="thin">
        <x:color rgb="FFD7DEE5"/>
      </x:top>
      <x:bottom style="thin">
        <x:color rgb="FFD7DEE5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horizontal="center" vertical="top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202" fontId="4" fillId="0" borderId="1" xfId="0" applyNumberFormat="1" applyFont="1" applyFill="1" applyBorder="1" applyAlignment="1">
      <x:alignment vertical="top" wrapText="1"/>
    </x:xf>
    <x:xf numFmtId="203" fontId="4" fillId="0" borderId="1" xfId="0" applyNumberFormat="1" applyFont="1" applyFill="1" applyBorder="1" applyAlignment="1">
      <x:alignment vertical="top" wrapText="1"/>
    </x:xf>
    <x:xf numFmtId="204" fontId="4" fillId="0" borderId="1" xfId="0" applyNumberFormat="1" applyFont="1" applyFill="1" applyBorder="1" applyAlignment="1">
      <x:alignment vertical="top" wrapText="1"/>
    </x:xf>
    <x:xf numFmtId="205" fontId="4" fillId="0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8" borderId="0" xfId="0" applyNumberFormat="1" applyFont="1" applyFill="1" applyBorder="1"/>
    <x:xf numFmtId="0" fontId="4" fillId="6" borderId="0" xfId="0" applyNumberFormat="1" applyFont="1" applyFill="1" applyBorder="1"/>
    <x:xf numFmtId="0" fontId="4" fillId="7" borderId="0" xfId="0" applyNumberFormat="1" applyFont="1" applyFill="1" applyBorder="1"/>
    <x:xf numFmtId="0" fontId="4" fillId="8" borderId="0" xfId="0" applyNumberFormat="1" applyFont="1" applyFill="1" applyBorder="1"/>
    <x:xf numFmtId="0" fontId="4" fillId="6" borderId="1" xfId="0" applyNumberFormat="1" applyFont="1" applyFill="1" applyBorder="1"/>
    <x:xf numFmtId="0" fontId="4" fillId="7" borderId="1" xfId="0" applyNumberFormat="1" applyFont="1" applyFill="1" applyBorder="1"/>
    <x:xf numFmtId="0" fontId="4" fillId="8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202" fontId="4" fillId="6" borderId="1" xfId="0" applyNumberFormat="1" applyFont="1" applyFill="1" applyBorder="1" applyAlignment="1">
      <x:alignment vertical="top" wrapText="1"/>
    </x:xf>
    <x:xf numFmtId="202" fontId="4" fillId="7" borderId="1" xfId="0" applyNumberFormat="1" applyFont="1" applyFill="1" applyBorder="1" applyAlignment="1">
      <x:alignment vertical="top" wrapText="1"/>
    </x:xf>
    <x:xf numFmtId="202" fontId="4" fillId="8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1" xfId="0" applyNumberFormat="1" applyFont="1" applyFill="1" applyBorder="1"/>
    <x:xf numFmtId="0" fontId="6" fillId="9" borderId="1" xfId="0" applyNumberFormat="1" applyFont="1" applyFill="1" applyBorder="1" applyAlignment="1">
      <x:alignment horizontal="center"/>
    </x:xf>
    <x:xf numFmtId="0" fontId="6" fillId="9" borderId="1" xfId="0" applyNumberFormat="1" applyFont="1" applyFill="1" applyBorder="1" applyAlignment="1">
      <x:alignment horizontal="center" vertical="center"/>
    </x:xf>
    <x:xf numFmtId="202" fontId="6" fillId="9" borderId="1" xfId="0" applyNumberFormat="1" applyFont="1" applyFill="1" applyBorder="1" applyAlignment="1">
      <x:alignment horizontal="center" vertical="center"/>
    </x:xf>
    <x:xf numFmtId="206" fontId="6" fillId="9" borderId="1" xfId="0" applyNumberFormat="1" applyFont="1" applyFill="1" applyBorder="1" applyAlignment="1">
      <x:alignment horizontal="center" vertical="center"/>
    </x:xf>
    <x:xf numFmtId="201" fontId="6" fillId="9" borderId="1" xfId="0" applyNumberFormat="1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vertical="top" wrapText="1"/>
    </x:xf>
    <x:xf numFmtId="202" fontId="7" fillId="4" borderId="1" xfId="0" applyNumberFormat="1" applyFont="1" applyFill="1" applyBorder="1" applyAlignment="1">
      <x:alignment vertical="top" wrapText="1"/>
    </x:xf>
    <x:xf numFmtId="207" fontId="4" fillId="0" borderId="1" xfId="0" applyNumberFormat="1" applyFont="1" applyFill="1" applyBorder="1" applyAlignment="1">
      <x:alignment vertical="top" wrapText="1"/>
    </x:xf>
    <x:xf numFmtId="207" fontId="7" fillId="4" borderId="1" xfId="0" applyNumberFormat="1" applyFont="1" applyFill="1" applyBorder="1" applyAlignment="1">
      <x:alignment vertical="top" wrapText="1"/>
    </x:xf>
    <x:xf numFmtId="206" fontId="4" fillId="0" borderId="1" xfId="0" applyNumberFormat="1" applyFont="1" applyFill="1" applyBorder="1" applyAlignment="1">
      <x:alignment vertical="top" wrapText="1"/>
    </x:xf>
    <x:xf numFmtId="206" fontId="7" fillId="4" borderId="1" xfId="0" applyNumberFormat="1" applyFont="1" applyFill="1" applyBorder="1" applyAlignment="1">
      <x:alignment vertical="top" wrapText="1"/>
    </x:xf>
    <x:xf numFmtId="201" fontId="7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b/>
        <x:color rgb="FF147D64"/>
      </x:font>
      <x:fill>
        <x:patternFill patternType="solid">
          <x:bgColor rgb="FFCDEEDC"/>
        </x:patternFill>
      </x:fill>
    </x:dxf>
    <x:dxf>
      <x:font>
        <x:b/>
        <x:color rgb="FF147D64"/>
      </x:font>
      <x:fill>
        <x:patternFill patternType="solid">
          <x:bgColor rgb="FFDDF4E8"/>
        </x:patternFill>
      </x:fill>
    </x:dxf>
    <x:dxf>
      <x:font>
        <x:b/>
        <x:color rgb="FFB54708"/>
      </x:font>
      <x:fill>
        <x:patternFill patternType="solid">
          <x:bgColor rgb="FFFFF7CC"/>
        </x:patternFill>
      </x:fill>
    </x:dxf>
    <x:dxf>
      <x:font>
        <x:b/>
        <x:color rgb="FFB54708"/>
      </x:font>
      <x:fill>
        <x:patternFill patternType="solid">
          <x:bgColor rgb="FFFFF0E0"/>
        </x:patternFill>
      </x:fill>
    </x:dxf>
    <x:dxf>
      <x:font>
        <x:b/>
        <x:color rgb="FFB42318"/>
      </x:font>
      <x:fill>
        <x:patternFill patternType="solid">
          <x:bgColor rgb="FFFDE7E5"/>
        </x:patternFill>
      </x:fill>
    </x:dxf>
    <x:dxf>
      <x:font>
        <x:b/>
        <x:color rgb="FF147D64"/>
      </x:font>
      <x:fill>
        <x:patternFill patternType="solid">
          <x:bgColor rgb="FFDDF4E8"/>
        </x:patternFill>
      </x:fill>
    </x:dxf>
    <x:dxf>
      <x:font>
        <x:b/>
        <x:color rgb="FFB54708"/>
      </x:font>
      <x:fill>
        <x:patternFill patternType="solid">
          <x:bgColor rgb="FFFFF7CC"/>
        </x:patternFill>
      </x:fill>
    </x:dxf>
    <x:dxf>
      <x:font>
        <x:b/>
        <x:color rgb="FFB42318"/>
      </x:font>
      <x:fill>
        <x:patternFill patternType="solid">
          <x:bgColor rgb="FFFDE7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4b9522776b46f0" /><Relationship Type="http://schemas.openxmlformats.org/officeDocument/2006/relationships/theme" Target="/xl/theme/theme1.xml" Id="R0833b5e095b94e41" /><Relationship Type="http://schemas.openxmlformats.org/officeDocument/2006/relationships/sharedStrings" Target="/xl/sharedStrings.xml" Id="R47cfc562ada841cf" /><Relationship Type="http://schemas.openxmlformats.org/officeDocument/2006/relationships/worksheet" Target="/xl/worksheets/sheet1.xml" Id="R6961da4f83074f3f" /><Relationship Type="http://schemas.openxmlformats.org/officeDocument/2006/relationships/worksheet" Target="/xl/worksheets/sheet2.xml" Id="Rcd63008d4b924616" /><Relationship Type="http://schemas.openxmlformats.org/officeDocument/2006/relationships/worksheet" Target="/xl/worksheets/sheet3.xml" Id="R62618f6d845e409a" /><Relationship Type="http://schemas.openxmlformats.org/officeDocument/2006/relationships/worksheet" Target="/xl/worksheets/sheet4.xml" Id="Rd7f859afaa514a1b" /><Relationship Type="http://schemas.openxmlformats.org/officeDocument/2006/relationships/worksheet" Target="/xl/worksheets/sheet5.xml" Id="R188afe41349a4c82" /><Relationship Type="http://schemas.openxmlformats.org/officeDocument/2006/relationships/worksheet" Target="/xl/worksheets/sheet6.xml" Id="R286c4f44fae8436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9017b8d62b3404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Capability saturation by category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Direct economic stewardship</c:v>
          </c:tx>
          <c:marker>
            <c:symbol val="none"/>
          </c:marker>
          <c:cat>
            <c:strRef>
              <c:f>'Summary'!$A$22:$A$41</c:f>
              <c:strCache>
                <c:ptCount val="0"/>
              </c:strCache>
            </c:strRef>
          </c:cat>
          <c:val>
            <c:numRef>
              <c:f>'Summary'!$B$22:$B$41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Operational execution</c:v>
          </c:tx>
          <c:marker>
            <c:symbol val="none"/>
          </c:marker>
          <c:cat>
            <c:strRef>
              <c:f>'Summary'!$A$22:$A$41</c:f>
              <c:strCache>
                <c:ptCount val="0"/>
              </c:strCache>
            </c:strRef>
          </c:cat>
          <c:val>
            <c:numRef>
              <c:f>'Summary'!$C$22:$C$41</c:f>
              <c:numCache>
                <c:formatCode>0%</c:formatCode>
                <c:ptCount val="0"/>
              </c:numCache>
            </c:numRef>
          </c:val>
          <c:smooth val="0"/>
        </c:ser>
        <c:ser>
          <c:idx val="2"/>
          <c:order val="2"/>
          <c:tx>
            <c:v>Personal stewardship transfer</c:v>
          </c:tx>
          <c:marker>
            <c:symbol val="none"/>
          </c:marker>
          <c:cat>
            <c:strRef>
              <c:f>'Summary'!$A$22:$A$41</c:f>
              <c:strCache>
                <c:ptCount val="0"/>
              </c:strCache>
            </c:strRef>
          </c:cat>
          <c:val>
            <c:numRef>
              <c:f>'Summary'!$D$22:$D$41</c:f>
              <c:numCache>
                <c:formatCode>0%</c:formatCode>
                <c:ptCount val="0"/>
              </c:numCache>
            </c:numRef>
          </c:val>
          <c:smooth val="0"/>
        </c:ser>
        <c:ser>
          <c:idx val="3"/>
          <c:order val="3"/>
          <c:tx>
            <c:v>Economic value &amp; governance</c:v>
          </c:tx>
          <c:marker>
            <c:symbol val="none"/>
          </c:marker>
          <c:cat>
            <c:strRef>
              <c:f>'Summary'!$A$22:$A$41</c:f>
              <c:strCache>
                <c:ptCount val="0"/>
              </c:strCache>
            </c:strRef>
          </c:cat>
          <c:val>
            <c:numRef>
              <c:f>'Summary'!$E$22:$E$41</c:f>
              <c:numCache>
                <c:formatCode>0%</c:formatCode>
                <c:ptCount val="0"/>
              </c:numCache>
            </c:numRef>
          </c:val>
          <c:smooth val="0"/>
        </c:ser>
        <c:ser>
          <c:idx val="4"/>
          <c:order val="4"/>
          <c:tx>
            <c:v>Overall</c:v>
          </c:tx>
          <c:marker>
            <c:symbol val="none"/>
          </c:marker>
          <c:cat>
            <c:strRef>
              <c:f>'Summary'!$A$22:$A$41</c:f>
              <c:strCache>
                <c:ptCount val="0"/>
              </c:strCache>
            </c:strRef>
          </c:cat>
          <c:val>
            <c:numRef>
              <c:f>'Summary'!$F$22:$F$41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10</xdr:row>
      <xdr:rowOff>0</xdr:rowOff>
    </xdr:from>
    <xdr:to>
      <xdr:col>18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9017b8d62b3404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BenchmarkObservationsTable" displayName="BenchmarkObservationsTable" ref="A5:K45" headerRowCount="1" totalsRowCount="0" totalsRowShown="0">
  <x:tableColumns count="11">
    <x:tableColumn id="1" name="Benchmark ID"/>
    <x:tableColumn id="2" name="Benchmark Name"/>
    <x:tableColumn id="3" name="Category"/>
    <x:tableColumn id="4" name="Observed date"/>
    <x:tableColumn id="5" name="Quarter"/>
    <x:tableColumn id="6" name="Quarter index"/>
    <x:tableColumn id="7" name="Score"/>
    <x:tableColumn id="8" name="System / harness"/>
    <x:tableColumn id="9" name="Score basis"/>
    <x:tableColumn id="10" name="Source URL"/>
    <x:tableColumn id="1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BenchmarkCatalogTable" displayName="BenchmarkCatalogTable" ref="A5:I28" headerRowCount="1" totalsRowCount="0" totalsRowShown="0">
  <x:tableColumns count="9">
    <x:tableColumn id="1" name="Benchmark ID"/>
    <x:tableColumn id="2" name="Category"/>
    <x:tableColumn id="3" name="Benchmark Name"/>
    <x:tableColumn id="4" name="Primary score used"/>
    <x:tableColumn id="5" name="Normalization rule"/>
    <x:tableColumn id="6" name="Status"/>
    <x:tableColumn id="7" name="First release quarter"/>
    <x:tableColumn id="8" name="Primary URL"/>
    <x:tableColumn id="9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jectionModelTable" displayName="ProjectionModelTable" ref="A5:U28" headerRowCount="1" totalsRowCount="0" totalsRowShown="0">
  <x:tableColumns count="21">
    <x:tableColumn id="1" name="Benchmark ID"/>
    <x:tableColumn id="2" name="Benchmark Name"/>
    <x:tableColumn id="3" name="Category"/>
    <x:tableColumn id="4" name="Obs count"/>
    <x:tableColumn id="5" name="Prior-2 Q"/>
    <x:tableColumn id="6" name="Prior Q"/>
    <x:tableColumn id="7" name="Latest Q"/>
    <x:tableColumn id="8" name="Prior-2 score"/>
    <x:tableColumn id="9" name="Prior score"/>
    <x:tableColumn id="10" name="Latest score"/>
    <x:tableColumn id="11" name="Prior-2 depth"/>
    <x:tableColumn id="12" name="Prior depth"/>
    <x:tableColumn id="13" name="Latest depth"/>
    <x:tableColumn id="14" name="Recent gap velocity"/>
    <x:tableColumn id="15" name="Prior gap velocity"/>
    <x:tableColumn id="16" name="Gap acceleration"/>
    <x:tableColumn id="17" name="Projection basis"/>
    <x:tableColumn id="18" name="Current score"/>
    <x:tableColumn id="19" name="Letter"/>
    <x:tableColumn id="20" name="GPA"/>
    <x:tableColumn id="21" name="Evidence credi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aa1a2dc08354d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56acc160b8ed45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4e0849182d9e4a2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fd8a9441e84f4d9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3" hidden="0" customWidth="1"/>
    <x:col min="3" max="3" width="11" hidden="0" customWidth="1"/>
    <x:col min="4" max="4" width="16" hidden="0" customWidth="1"/>
    <x:col min="5" max="5" width="10" hidden="0" customWidth="1"/>
    <x:col min="6" max="6" width="16" hidden="0" customWidth="1"/>
    <x:col min="7" max="7" width="16" hidden="0" customWidth="1"/>
    <x:col min="8" max="8" width="18" hidden="0" customWidth="1"/>
    <x:col min="9" max="9" width="16" hidden="0" customWidth="1"/>
    <x:col min="10" max="10" width="14" hidden="0" customWidth="1"/>
    <x:col min="11" max="11" width="17" hidden="0" customWidth="1"/>
    <x:col min="12" max="12" width="4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 ht="28" customHeight="1">
      <x:c r="A1" s="3" t="str">
        <x:v>Personal AI Capability — Four-Year Report Card</x:v>
      </x:c>
      <x:c r="B1" s="3" t="str">
        <x:v>Personal AI Capability — Four-Year Report Card</x:v>
      </x:c>
      <x:c r="C1" s="3" t="str">
        <x:v>Personal AI Capability — Four-Year Report Card</x:v>
      </x:c>
      <x:c r="D1" s="3" t="str">
        <x:v>Personal AI Capability — Four-Year Report Card</x:v>
      </x:c>
      <x:c r="E1" s="3" t="str">
        <x:v>Personal AI Capability — Four-Year Report Card</x:v>
      </x:c>
      <x:c r="F1" s="3" t="str">
        <x:v>Personal AI Capability — Four-Year Report Card</x:v>
      </x:c>
      <x:c r="G1" s="3" t="str">
        <x:v>Personal AI Capability — Four-Year Report Card</x:v>
      </x:c>
      <x:c r="H1" s="3" t="str">
        <x:v>Personal AI Capability — Four-Year Report Card</x:v>
      </x:c>
      <x:c r="I1" s="3" t="str">
        <x:v>Personal AI Capability — Four-Year Report Card</x:v>
      </x:c>
      <x:c r="J1" s="3" t="str">
        <x:v>Personal AI Capability — Four-Year Report Card</x:v>
      </x:c>
      <x:c r="K1" s="3" t="str">
        <x:v>Personal AI Capability — Four-Year Report Card</x:v>
      </x:c>
      <x:c r="L1" s="3" t="str">
        <x:v>Personal AI Capability — Four-Year Report Card</x:v>
      </x:c>
      <x:c r="M1" s="3" t="str">
        <x:v>Personal AI Capability — Four-Year Report Card</x:v>
      </x:c>
      <x:c r="N1" s="3" t="str">
        <x:v>Personal AI Capability — Four-Year Report Card</x:v>
      </x:c>
      <x:c r="O1" s="3" t="str">
        <x:v>Personal AI Capability — Four-Year Report Card</x:v>
      </x:c>
      <x:c r="P1" s="3" t="str">
        <x:v>Personal AI Capability — Four-Year Report Card</x:v>
      </x:c>
      <x:c r="Q1" s="3" t="str">
        <x:v>Personal AI Capability — Four-Year Report Card</x:v>
      </x:c>
      <x:c r="R1" s="3" t="str">
        <x:v>Personal AI Capability — Four-Year Report Card</x:v>
      </x:c>
    </x:row>
    <x:row r="2" ht="28" customHeight="1">
      <x:c r="A2" s="3" t="str">
        <x:v>Personal AI Capability — Four-Year Report Card</x:v>
      </x:c>
      <x:c r="B2" s="3" t="str">
        <x:v>Personal AI Capability — Four-Year Report Card</x:v>
      </x:c>
      <x:c r="C2" s="3" t="str">
        <x:v>Personal AI Capability — Four-Year Report Card</x:v>
      </x:c>
      <x:c r="D2" s="3" t="str">
        <x:v>Personal AI Capability — Four-Year Report Card</x:v>
      </x:c>
      <x:c r="E2" s="3" t="str">
        <x:v>Personal AI Capability — Four-Year Report Card</x:v>
      </x:c>
      <x:c r="F2" s="3" t="str">
        <x:v>Personal AI Capability — Four-Year Report Card</x:v>
      </x:c>
      <x:c r="G2" s="3" t="str">
        <x:v>Personal AI Capability — Four-Year Report Card</x:v>
      </x:c>
      <x:c r="H2" s="3" t="str">
        <x:v>Personal AI Capability — Four-Year Report Card</x:v>
      </x:c>
      <x:c r="I2" s="3" t="str">
        <x:v>Personal AI Capability — Four-Year Report Card</x:v>
      </x:c>
      <x:c r="J2" s="3" t="str">
        <x:v>Personal AI Capability — Four-Year Report Card</x:v>
      </x:c>
      <x:c r="K2" s="3" t="str">
        <x:v>Personal AI Capability — Four-Year Report Card</x:v>
      </x:c>
      <x:c r="L2" s="3" t="str">
        <x:v>Personal AI Capability — Four-Year Report Card</x:v>
      </x:c>
      <x:c r="M2" s="3" t="str">
        <x:v>Personal AI Capability — Four-Year Report Card</x:v>
      </x:c>
      <x:c r="N2" s="3" t="str">
        <x:v>Personal AI Capability — Four-Year Report Card</x:v>
      </x:c>
      <x:c r="O2" s="3" t="str">
        <x:v>Personal AI Capability — Four-Year Report Card</x:v>
      </x:c>
      <x:c r="P2" s="3" t="str">
        <x:v>Personal AI Capability — Four-Year Report Card</x:v>
      </x:c>
      <x:c r="Q2" s="3" t="str">
        <x:v>Personal AI Capability — Four-Year Report Card</x:v>
      </x:c>
      <x:c r="R2" s="3" t="str">
        <x:v>Personal AI Capability — Four-Year Report Card</x:v>
      </x:c>
    </x:row>
    <x:row r="3" ht="15" hidden="0" customHeight="1">
      <x:c r="A3" s="6" t="str">
        <x:v>A confidence-weighted view of economic stewardship, operational execution, personal transfer, and economic value/governance. As of 2026-08-26.</x:v>
      </x:c>
      <x:c r="B3" s="6" t="str">
        <x:v>A confidence-weighted view of economic stewardship, operational execution, personal transfer, and economic value/governance. As of 2026-08-26.</x:v>
      </x:c>
      <x:c r="C3" s="6" t="str">
        <x:v>A confidence-weighted view of economic stewardship, operational execution, personal transfer, and economic value/governance. As of 2026-08-26.</x:v>
      </x:c>
      <x:c r="D3" s="6" t="str">
        <x:v>A confidence-weighted view of economic stewardship, operational execution, personal transfer, and economic value/governance. As of 2026-08-26.</x:v>
      </x:c>
      <x:c r="E3" s="6" t="str">
        <x:v>A confidence-weighted view of economic stewardship, operational execution, personal transfer, and economic value/governance. As of 2026-08-26.</x:v>
      </x:c>
      <x:c r="F3" s="6" t="str">
        <x:v>A confidence-weighted view of economic stewardship, operational execution, personal transfer, and economic value/governance. As of 2026-08-26.</x:v>
      </x:c>
      <x:c r="G3" s="6" t="str">
        <x:v>A confidence-weighted view of economic stewardship, operational execution, personal transfer, and economic value/governance. As of 2026-08-26.</x:v>
      </x:c>
      <x:c r="H3" s="6" t="str">
        <x:v>A confidence-weighted view of economic stewardship, operational execution, personal transfer, and economic value/governance. As of 2026-08-26.</x:v>
      </x:c>
      <x:c r="I3" s="6" t="str">
        <x:v>A confidence-weighted view of economic stewardship, operational execution, personal transfer, and economic value/governance. As of 2026-08-26.</x:v>
      </x:c>
      <x:c r="J3" s="6" t="str">
        <x:v>A confidence-weighted view of economic stewardship, operational execution, personal transfer, and economic value/governance. As of 2026-08-26.</x:v>
      </x:c>
      <x:c r="K3" s="6" t="str">
        <x:v>A confidence-weighted view of economic stewardship, operational execution, personal transfer, and economic value/governance. As of 2026-08-26.</x:v>
      </x:c>
      <x:c r="L3" s="6" t="str">
        <x:v>A confidence-weighted view of economic stewardship, operational execution, personal transfer, and economic value/governance. As of 2026-08-26.</x:v>
      </x:c>
      <x:c r="M3" s="6" t="str">
        <x:v>A confidence-weighted view of economic stewardship, operational execution, personal transfer, and economic value/governance. As of 2026-08-26.</x:v>
      </x:c>
      <x:c r="N3" s="6" t="str">
        <x:v>A confidence-weighted view of economic stewardship, operational execution, personal transfer, and economic value/governance. As of 2026-08-26.</x:v>
      </x:c>
      <x:c r="O3" s="6" t="str">
        <x:v>A confidence-weighted view of economic stewardship, operational execution, personal transfer, and economic value/governance. As of 2026-08-26.</x:v>
      </x:c>
      <x:c r="P3" s="6" t="str">
        <x:v>A confidence-weighted view of economic stewardship, operational execution, personal transfer, and economic value/governance. As of 2026-08-26.</x:v>
      </x:c>
      <x:c r="Q3" s="6" t="str">
        <x:v>A confidence-weighted view of economic stewardship, operational execution, personal transfer, and economic value/governance. As of 2026-08-26.</x:v>
      </x:c>
      <x:c r="R3" s="6" t="str">
        <x:v>A confidence-weighted view of economic stewardship, operational execution, personal transfer, and economic value/governance. As of 2026-08-26.</x:v>
      </x:c>
    </x:row>
    <x:row r="4"/>
    <x:row r="5" ht="15" hidden="0" customHeight="1">
      <x:c r="A5" s="9" t="str">
        <x:v>CURRENT SCORE</x:v>
      </x:c>
      <x:c r="B5" s="9" t="str">
        <x:v>CURRENT SCORE</x:v>
      </x:c>
      <x:c r="C5" s="9" t="str">
        <x:v>CURRENT SCORE</x:v>
      </x:c>
      <x:c r="D5" s="9" t="str">
        <x:v>CURRENT LETTER</x:v>
      </x:c>
      <x:c r="E5" s="9" t="str">
        <x:v>CURRENT LETTER</x:v>
      </x:c>
      <x:c r="F5" s="9" t="str">
        <x:v>CURRENT LETTER</x:v>
      </x:c>
      <x:c r="G5" s="49" t="str">
        <x:v>2028-Q4 SCORE</x:v>
      </x:c>
      <x:c r="H5" s="49" t="str">
        <x:v>2028-Q4 SCORE</x:v>
      </x:c>
      <x:c r="I5" s="49" t="str">
        <x:v>2028-Q4 SCORE</x:v>
      </x:c>
      <x:c r="J5" s="9" t="str">
        <x:v>GAP ACCELERATION / QTR²</x:v>
      </x:c>
      <x:c r="K5" s="9" t="str">
        <x:v>GAP ACCELERATION / QTR²</x:v>
      </x:c>
      <x:c r="L5" s="9" t="str">
        <x:v>GAP ACCELERATION / QTR²</x:v>
      </x:c>
      <x:c r="M5" s="9" t="str">
        <x:v>OVERALL CONFIDENCE</x:v>
      </x:c>
      <x:c r="N5" s="9" t="str">
        <x:v>OVERALL CONFIDENCE</x:v>
      </x:c>
      <x:c r="O5" s="9" t="str">
        <x:v>OVERALL CONFIDENCE</x:v>
      </x:c>
      <x:c r="P5" s="9" t="str">
        <x:v>ACCELERATION COVERAGE</x:v>
      </x:c>
      <x:c r="Q5" s="9" t="str">
        <x:v>ACCELERATION COVERAGE</x:v>
      </x:c>
      <x:c r="R5" s="9" t="str">
        <x:v>ACCELERATION COVERAGE</x:v>
      </x:c>
    </x:row>
    <x:row r="6">
      <x:c r="A6" s="55" t="n">
        <x:f>D17</x:f>
        <x:v>0.4754547162751583</x:v>
      </x:c>
      <x:c r="D6" s="54" t="str">
        <x:f>IF(A6&gt;='Methodology'!$G$7,"A",IF(A6&gt;='Methodology'!$G$8,"B",IF(A6&gt;='Methodology'!$G$9,"C",IF(A6&gt;='Methodology'!$G$10,"D","F"))))</x:f>
        <x:v>F</x:v>
      </x:c>
      <x:c r="G6" s="55" t="n">
        <x:f>F17</x:f>
        <x:v>0.6415123054035713</x:v>
      </x:c>
      <x:c r="J6" s="56" t="n">
        <x:f>H17</x:f>
        <x:v>0.04706919723433389</x:v>
      </x:c>
      <x:c r="M6" s="54" t="str">
        <x:f>J17</x:f>
        <x:v>Medium</x:v>
      </x:c>
      <x:c r="P6" s="57" t="n">
        <x:f>I17</x:f>
        <x:v>0.3</x:v>
      </x:c>
    </x:row>
    <x:row r="7"/>
    <x:row r="8"/>
    <x:row r="9"/>
    <x:row r="10"/>
    <x:row r="11" ht="15" hidden="0" customHeight="1">
      <x:c r="A11" s="9" t="str">
        <x:v>CATEGORY REPORT CARD</x:v>
      </x:c>
      <x:c r="B11" s="9" t="str">
        <x:v>CATEGORY REPORT CARD</x:v>
      </x:c>
      <x:c r="C11" s="9" t="str">
        <x:v>CATEGORY REPORT CARD</x:v>
      </x:c>
      <x:c r="D11" s="9" t="str">
        <x:v>CATEGORY REPORT CARD</x:v>
      </x:c>
      <x:c r="E11" s="9" t="str">
        <x:v>CATEGORY REPORT CARD</x:v>
      </x:c>
      <x:c r="F11" s="9" t="str">
        <x:v>CATEGORY REPORT CARD</x:v>
      </x:c>
      <x:c r="G11" s="9" t="str">
        <x:v>CATEGORY REPORT CARD</x:v>
      </x:c>
      <x:c r="H11" s="9" t="str">
        <x:v>CATEGORY REPORT CARD</x:v>
      </x:c>
      <x:c r="I11" s="9" t="str">
        <x:v>CATEGORY REPORT CARD</x:v>
      </x:c>
      <x:c r="J11" s="9" t="str">
        <x:v>CATEGORY REPORT CARD</x:v>
      </x:c>
      <x:c r="K11" s="9" t="str">
        <x:v>CATEGORY REPORT CARD</x:v>
      </x:c>
    </x:row>
    <x:row r="12" ht="15" hidden="0" customHeight="1">
      <x:c r="A12" s="13" t="str">
        <x:v>Category</x:v>
      </x:c>
      <x:c r="B12" s="13" t="str">
        <x:v>Graded</x:v>
      </x:c>
      <x:c r="C12" s="13" t="str">
        <x:v>Total</x:v>
      </x:c>
      <x:c r="D12" s="13" t="str">
        <x:v>Current score</x:v>
      </x:c>
      <x:c r="E12" s="13" t="str">
        <x:v>GPA</x:v>
      </x:c>
      <x:c r="F12" s="13" t="str">
        <x:v>2028-Q4 score</x:v>
      </x:c>
      <x:c r="G12" s="13" t="str">
        <x:v>Gap velocity / qtr</x:v>
      </x:c>
      <x:c r="H12" s="13" t="str">
        <x:v>Gap acceleration / qtr²</x:v>
      </x:c>
      <x:c r="I12" s="13" t="str">
        <x:v>Accel. coverage</x:v>
      </x:c>
      <x:c r="J12" s="13" t="str">
        <x:v>Confidence</x:v>
      </x:c>
      <x:c r="K12" s="13" t="str">
        <x:v>Confidence weight</x:v>
      </x:c>
    </x:row>
    <x:row r="13" ht="15" hidden="0" customHeight="1">
      <x:c r="A13" s="17" t="str">
        <x:v>Direct economic stewardship</x:v>
      </x:c>
      <x:c r="B13" s="17" t="n">
        <x:f>COUNTIFS('Report Card'!$A$6:$A$28,A13,'Report Card'!$AT$6:$AT$28,"&lt;&gt;N/A")</x:f>
        <x:v>7</x:v>
      </x:c>
      <x:c r="C13" s="17" t="n">
        <x:f>COUNTIF('Report Card'!$A$6:$A$28,A13)</x:f>
        <x:v>7</x:v>
      </x:c>
      <x:c r="D13" s="24" t="n">
        <x:f>IFERROR(AVERAGEIF('Report Card'!$A$6:$A$28,A13,'Report Card'!$AS$6:$AS$28),"")</x:f>
        <x:v>0.411119997193754</x:v>
      </x:c>
      <x:c r="E13" s="60" t="n">
        <x:f>IFERROR(AVERAGEIF('Report Card'!$A$6:$A$28,A13,'Report Card'!$AU$6:$AU$28),"")</x:f>
        <x:v>1</x:v>
      </x:c>
      <x:c r="F13" s="24" t="n">
        <x:f>IFERROR(AVERAGEIF('Report Card'!$A$6:$A$28,A13,'Report Card'!$AQ$6:$AQ$28),"")</x:f>
        <x:v>0.41656299325127366</x:v>
      </x:c>
      <x:c r="G13" s="62" t="n">
        <x:f>IFERROR(AVERAGEIFS('Model'!$N$6:$N$28,'Model'!$C$6:$C$28,A13,'Model'!$D$6:$D$28,"&gt;=2"),"")</x:f>
        <x:v>0.006549844650824333</x:v>
      </x:c>
      <x:c r="H13" s="62" t="n">
        <x:f>IFERROR(AVERAGEIFS('Model'!$P$6:$P$28,'Model'!$C$6:$C$28,A13,'Model'!$D$6:$D$28,"&gt;=3"),"")</x:f>
        <x:v>-0.0718969048742778</x:v>
      </x:c>
      <x:c r="I13" s="19" t="n">
        <x:f>IFERROR(COUNTIFS('Model'!$C$6:$C$28,A13,'Model'!$D$6:$D$28,"&gt;=3")/COUNTIFS('Model'!$C$6:$C$28,A13,'Model'!$D$6:$D$28,"&gt;0"),"")</x:f>
        <x:v>0.14285714285714285</x:v>
      </x:c>
      <x:c r="J13" s="17" t="str">
        <x:f>IF(K13&gt;=0.8,"High",IF(K13&gt;=0.5,"Medium","Low"))</x:f>
        <x:v>Low</x:v>
      </x:c>
      <x:c r="K13" s="19" t="n">
        <x:f>IFERROR(SUMIF('Model'!$C$6:$C$28,A13,'Model'!$U$6:$U$28)/(3*C13),0)</x:f>
        <x:v>0.47619047619047616</x:v>
      </x:c>
    </x:row>
    <x:row r="14" ht="15" hidden="0" customHeight="1">
      <x:c r="A14" s="17" t="str">
        <x:v>Operational execution</x:v>
      </x:c>
      <x:c r="B14" s="17" t="n">
        <x:f>COUNTIFS('Report Card'!$A$6:$A$28,A14,'Report Card'!$AT$6:$AT$28,"&lt;&gt;N/A")</x:f>
        <x:v>7</x:v>
      </x:c>
      <x:c r="C14" s="17" t="n">
        <x:f>COUNTIF('Report Card'!$A$6:$A$28,A14)</x:f>
        <x:v>8</x:v>
      </x:c>
      <x:c r="D14" s="24" t="n">
        <x:f>IFERROR(AVERAGEIF('Report Card'!$A$6:$A$28,A14,'Report Card'!$AS$6:$AS$28),"")</x:f>
        <x:v>0.5348571428571428</x:v>
      </x:c>
      <x:c r="E14" s="60" t="n">
        <x:f>IFERROR(AVERAGEIF('Report Card'!$A$6:$A$28,A14,'Report Card'!$AU$6:$AU$28),"")</x:f>
        <x:v>0.42857142857142855</x:v>
      </x:c>
      <x:c r="F14" s="24" t="n">
        <x:f>IFERROR(AVERAGEIF('Report Card'!$A$6:$A$28,A14,'Report Card'!$AQ$6:$AQ$28),"")</x:f>
        <x:v>0.7614002449377768</x:v>
      </x:c>
      <x:c r="G14" s="62" t="n">
        <x:f>IFERROR(AVERAGEIFS('Model'!$N$6:$N$28,'Model'!$C$6:$C$28,A14,'Model'!$D$6:$D$28,"&gt;=2"),"")</x:f>
        <x:v>0.21231534925022855</x:v>
      </x:c>
      <x:c r="H14" s="62" t="n">
        <x:f>IFERROR(AVERAGEIFS('Model'!$P$6:$P$28,'Model'!$C$6:$C$28,A14,'Model'!$D$6:$D$28,"&gt;=3"),"")</x:f>
        <x:v>0.06540560141180742</x:v>
      </x:c>
      <x:c r="I14" s="19" t="n">
        <x:f>IFERROR(COUNTIFS('Model'!$C$6:$C$28,A14,'Model'!$D$6:$D$28,"&gt;=3")/COUNTIFS('Model'!$C$6:$C$28,A14,'Model'!$D$6:$D$28,"&gt;0"),"")</x:f>
        <x:v>0.5714285714285714</x:v>
      </x:c>
      <x:c r="J14" s="17" t="str">
        <x:f>IF(K14&gt;=0.8,"High",IF(K14&gt;=0.5,"Medium","Low"))</x:f>
        <x:v>Medium</x:v>
      </x:c>
      <x:c r="K14" s="19" t="n">
        <x:f>IFERROR(SUMIF('Model'!$C$6:$C$28,A14,'Model'!$U$6:$U$28)/(3*C14),0)</x:f>
        <x:v>0.6666666666666666</x:v>
      </x:c>
    </x:row>
    <x:row r="15" ht="15" hidden="0" customHeight="1">
      <x:c r="A15" s="17" t="str">
        <x:v>Personal stewardship transfer</x:v>
      </x:c>
      <x:c r="B15" s="17" t="n">
        <x:f>COUNTIFS('Report Card'!$A$6:$A$28,A15,'Report Card'!$AT$6:$AT$28,"&lt;&gt;N/A")</x:f>
        <x:v>4</x:v>
      </x:c>
      <x:c r="C15" s="17" t="n">
        <x:f>COUNTIF('Report Card'!$A$6:$A$28,A15)</x:f>
        <x:v>4</x:v>
      </x:c>
      <x:c r="D15" s="24" t="n">
        <x:f>IFERROR(AVERAGEIF('Report Card'!$A$6:$A$28,A15,'Report Card'!$AS$6:$AS$28),"")</x:f>
        <x:v>0.4895</x:v>
      </x:c>
      <x:c r="E15" s="60" t="n">
        <x:f>IFERROR(AVERAGEIF('Report Card'!$A$6:$A$28,A15,'Report Card'!$AU$6:$AU$28),"")</x:f>
        <x:v>0.25</x:v>
      </x:c>
      <x:c r="F15" s="24" t="n">
        <x:f>IFERROR(AVERAGEIF('Report Card'!$A$6:$A$28,A15,'Report Card'!$AQ$6:$AQ$28),"")</x:f>
        <x:v>0.5390515200198509</x:v>
      </x:c>
      <x:c r="G15" s="62" t="n">
        <x:f>IFERROR(AVERAGEIFS('Model'!$N$6:$N$28,'Model'!$C$6:$C$28,A15,'Model'!$D$6:$D$28,"&gt;=2"),"")</x:f>
        <x:v>0.060208192614823824</x:v>
      </x:c>
      <x:c r="H15" s="62" t="str">
        <x:f>IFERROR(AVERAGEIFS('Model'!$P$6:$P$28,'Model'!$C$6:$C$28,A15,'Model'!$D$6:$D$28,"&gt;=3"),"")</x:f>
      </x:c>
      <x:c r="I15" s="19" t="n">
        <x:f>IFERROR(COUNTIFS('Model'!$C$6:$C$28,A15,'Model'!$D$6:$D$28,"&gt;=3")/COUNTIFS('Model'!$C$6:$C$28,A15,'Model'!$D$6:$D$28,"&gt;0"),"")</x:f>
        <x:v>0</x:v>
      </x:c>
      <x:c r="J15" s="17" t="str">
        <x:f>IF(K15&gt;=0.8,"High",IF(K15&gt;=0.5,"Medium","Low"))</x:f>
        <x:v>Low</x:v>
      </x:c>
      <x:c r="K15" s="19" t="n">
        <x:f>IFERROR(SUMIF('Model'!$C$6:$C$28,A15,'Model'!$U$6:$U$28)/(3*C15),0)</x:f>
        <x:v>0.4166666666666667</x:v>
      </x:c>
    </x:row>
    <x:row r="16" ht="15" hidden="0" customHeight="1">
      <x:c r="A16" s="17" t="str">
        <x:v>Economic value &amp; governance</x:v>
      </x:c>
      <x:c r="B16" s="17" t="n">
        <x:f>COUNTIFS('Report Card'!$A$6:$A$28,A16,'Report Card'!$AT$6:$AT$28,"&lt;&gt;N/A")</x:f>
        <x:v>2</x:v>
      </x:c>
      <x:c r="C16" s="17" t="n">
        <x:f>COUNTIF('Report Card'!$A$6:$A$28,A16)</x:f>
        <x:v>4</x:v>
      </x:c>
      <x:c r="D16" s="24" t="n">
        <x:f>IFERROR(AVERAGEIF('Report Card'!$A$6:$A$28,A16,'Report Card'!$AS$6:$AS$28),"")</x:f>
        <x:v>0.431</x:v>
      </x:c>
      <x:c r="E16" s="60" t="n">
        <x:f>IFERROR(AVERAGEIF('Report Card'!$A$6:$A$28,A16,'Report Card'!$AU$6:$AU$28),"")</x:f>
        <x:v>1</x:v>
      </x:c>
      <x:c r="F16" s="24" t="n">
        <x:f>IFERROR(AVERAGEIF('Report Card'!$A$6:$A$28,A16,'Report Card'!$AQ$6:$AQ$28),"")</x:f>
        <x:v>0.8511685682823786</x:v>
      </x:c>
      <x:c r="G16" s="62" t="n">
        <x:f>IFERROR(AVERAGEIFS('Model'!$N$6:$N$28,'Model'!$C$6:$C$28,A16,'Model'!$D$6:$D$28,"&gt;=2"),"")</x:f>
        <x:v>0.18665713536174539</x:v>
      </x:c>
      <x:c r="H16" s="62" t="n">
        <x:f>IFERROR(AVERAGEIFS('Model'!$P$6:$P$28,'Model'!$C$6:$C$28,A16,'Model'!$D$6:$D$28,"&gt;=3"),"")</x:f>
        <x:v>0.18034796332026068</x:v>
      </x:c>
      <x:c r="I16" s="19" t="n">
        <x:f>IFERROR(COUNTIFS('Model'!$C$6:$C$28,A16,'Model'!$D$6:$D$28,"&gt;=3")/COUNTIFS('Model'!$C$6:$C$28,A16,'Model'!$D$6:$D$28,"&gt;0"),"")</x:f>
        <x:v>0.5</x:v>
      </x:c>
      <x:c r="J16" s="17" t="str">
        <x:f>IF(K16&gt;=0.8,"High",IF(K16&gt;=0.5,"Medium","Low"))</x:f>
        <x:v>Low</x:v>
      </x:c>
      <x:c r="K16" s="19" t="n">
        <x:f>IFERROR(SUMIF('Model'!$C$6:$C$28,A16,'Model'!$U$6:$U$28)/(3*C16),0)</x:f>
        <x:v>0.3333333333333333</x:v>
      </x:c>
    </x:row>
    <x:row r="17" ht="15" hidden="0" customHeight="1">
      <x:c r="A17" s="58" t="str">
        <x:v>Overall (confidence-weighted)</x:v>
      </x:c>
      <x:c r="B17" s="58" t="n">
        <x:f>SUM(B13:B16)</x:f>
        <x:v>20</x:v>
      </x:c>
      <x:c r="C17" s="58" t="n">
        <x:f>SUM(C13:C16)</x:f>
        <x:v>23</x:v>
      </x:c>
      <x:c r="D17" s="59" t="n">
        <x:f>IFERROR(SUMPRODUCT(D13:D16,K13:K16)/SUM(K13:K16),"")</x:f>
        <x:v>0.4754547162751583</x:v>
      </x:c>
      <x:c r="E17" s="61" t="n">
        <x:f>IFERROR(SUMPRODUCT(E13:E16,K13:K16)/SUM(K13:K16),"")</x:f>
        <x:v>0.6336477987421384</x:v>
      </x:c>
      <x:c r="F17" s="59" t="n">
        <x:f>IFERROR(SUMPRODUCT(F13:F16,K13:K16)/SUM(K13:K16),"")</x:f>
        <x:v>0.6415123054035713</x:v>
      </x:c>
      <x:c r="G17" s="63" t="n">
        <x:f>IFERROR(SUMPRODUCT(G13:G16,K13:K16)/SUM(K13:K16),"")</x:f>
        <x:v>0.12254930739429859</x:v>
      </x:c>
      <x:c r="H17" s="63" t="n">
        <x:f>IFERROR((IF(H13="",0,H13*K13)+IF(H14="",0,H14*K14)+IF(H15="",0,H15*K15)+IF(H16="",0,H16*K16))/(IF(H13="",0,K13)+IF(H14="",0,K14)+IF(H15="",0,K15)+IF(H16="",0,K16)),"")</x:f>
        <x:v>0.04706919723433389</x:v>
      </x:c>
      <x:c r="I17" s="64" t="n">
        <x:f>COUNTIF('Model'!$D$6:$D$28,"&gt;=3")/COUNTIF('Model'!$D$6:$D$28,"&gt;0")</x:f>
        <x:v>0.3</x:v>
      </x:c>
      <x:c r="J17" s="58" t="str">
        <x:f>IF(K17&gt;=0.8,"High",IF(K17&gt;=0.5,"Medium","Low"))</x:f>
        <x:v>Medium</x:v>
      </x:c>
      <x:c r="K17" s="64" t="n">
        <x:f>IFERROR(SUMPRODUCT(K13:K16,C13:C16)/SUM(C13:C16),0)</x:f>
        <x:v>0.5072463768115941</x:v>
      </x:c>
    </x:row>
    <x:row r="18"/>
    <x:row r="19"/>
    <x:row r="20" ht="15" hidden="0" customHeight="1">
      <x:c r="A20" s="9" t="str">
        <x:v>QUARTERLY CATEGORY TRAJECTORY</x:v>
      </x:c>
      <x:c r="B20" s="9" t="str">
        <x:v>QUARTERLY CATEGORY TRAJECTORY</x:v>
      </x:c>
      <x:c r="C20" s="9" t="str">
        <x:v>QUARTERLY CATEGORY TRAJECTORY</x:v>
      </x:c>
      <x:c r="D20" s="9" t="str">
        <x:v>QUARTERLY CATEGORY TRAJECTORY</x:v>
      </x:c>
      <x:c r="E20" s="9" t="str">
        <x:v>QUARTERLY CATEGORY TRAJECTORY</x:v>
      </x:c>
      <x:c r="F20" s="9" t="str">
        <x:v>QUARTERLY CATEGORY TRAJECTORY</x:v>
      </x:c>
    </x:row>
    <x:row r="21" ht="39.599998474121094" hidden="0" customHeight="1">
      <x:c r="A21" s="13" t="str">
        <x:v>Quarter</x:v>
      </x:c>
      <x:c r="B21" s="13" t="str">
        <x:v>Direct economic stewardship</x:v>
      </x:c>
      <x:c r="C21" s="13" t="str">
        <x:v>Operational execution</x:v>
      </x:c>
      <x:c r="D21" s="13" t="str">
        <x:v>Personal stewardship transfer</x:v>
      </x:c>
      <x:c r="E21" s="13" t="str">
        <x:v>Economic value &amp; governance</x:v>
      </x:c>
      <x:c r="F21" s="13" t="str">
        <x:v>Overall</x:v>
      </x:c>
    </x:row>
    <x:row r="22" ht="15" hidden="0" customHeight="1">
      <x:c r="A22" s="17" t="str">
        <x:v>2024-Q1</x:v>
      </x:c>
      <x:c r="B22" s="19" t="str">
        <x:f>IFERROR(AVERAGEIF('Report Card'!$A$6:$A$28,B$21,'Report Card'!$E$6:$E$28),"")</x:f>
      </x:c>
      <x:c r="C22" s="19" t="str">
        <x:f>IFERROR(AVERAGEIF('Report Card'!$A$6:$A$28,C$21,'Report Card'!$E$6:$E$28),"")</x:f>
      </x:c>
      <x:c r="D22" s="19" t="str">
        <x:f>IFERROR(AVERAGEIF('Report Card'!$A$6:$A$28,D$21,'Report Card'!$E$6:$E$28),"")</x:f>
      </x:c>
      <x:c r="E22" s="19" t="str">
        <x:f>IFERROR(AVERAGEIF('Report Card'!$A$6:$A$28,E$21,'Report Card'!$E$6:$E$28),"")</x:f>
      </x:c>
      <x:c r="F22" s="19" t="str">
        <x:f>IFERROR((IF(B22="",0,B22*$K$13)+IF(C22="",0,C22*$K$14)+IF(D22="",0,D22*$K$15)+IF(E22="",0,E22*$K$16))/(IF(B22="",0,$K$13)+IF(C22="",0,$K$14)+IF(D22="",0,$K$15)+IF(E22="",0,$K$16)),"")</x:f>
      </x:c>
    </x:row>
    <x:row r="23" ht="15" hidden="0" customHeight="1">
      <x:c r="A23" s="17" t="str">
        <x:v>2024-Q2</x:v>
      </x:c>
      <x:c r="B23" s="19" t="str">
        <x:f>IFERROR(AVERAGEIF('Report Card'!$A$6:$A$28,B$21,'Report Card'!$G$6:$G$28),"")</x:f>
      </x:c>
      <x:c r="C23" s="19" t="str">
        <x:f>IFERROR(AVERAGEIF('Report Card'!$A$6:$A$28,C$21,'Report Card'!$G$6:$G$28),"")</x:f>
      </x:c>
      <x:c r="D23" s="19" t="str">
        <x:f>IFERROR(AVERAGEIF('Report Card'!$A$6:$A$28,D$21,'Report Card'!$G$6:$G$28),"")</x:f>
      </x:c>
      <x:c r="E23" s="19" t="str">
        <x:f>IFERROR(AVERAGEIF('Report Card'!$A$6:$A$28,E$21,'Report Card'!$G$6:$G$28),"")</x:f>
      </x:c>
      <x:c r="F23" s="19" t="str">
        <x:f>IFERROR((IF(B23="",0,B23*$K$13)+IF(C23="",0,C23*$K$14)+IF(D23="",0,D23*$K$15)+IF(E23="",0,E23*$K$16))/(IF(B23="",0,$K$13)+IF(C23="",0,$K$14)+IF(D23="",0,$K$15)+IF(E23="",0,$K$16)),"")</x:f>
      </x:c>
    </x:row>
    <x:row r="24" ht="15" hidden="0" customHeight="1">
      <x:c r="A24" s="17" t="str">
        <x:v>2024-Q3</x:v>
      </x:c>
      <x:c r="B24" s="19" t="str">
        <x:f>IFERROR(AVERAGEIF('Report Card'!$A$6:$A$28,B$21,'Report Card'!$I$6:$I$28),"")</x:f>
      </x:c>
      <x:c r="C24" s="19" t="str">
        <x:f>IFERROR(AVERAGEIF('Report Card'!$A$6:$A$28,C$21,'Report Card'!$I$6:$I$28),"")</x:f>
      </x:c>
      <x:c r="D24" s="19" t="n">
        <x:f>IFERROR(AVERAGEIF('Report Card'!$A$6:$A$28,D$21,'Report Card'!$I$6:$I$28),"")</x:f>
        <x:v>0.252</x:v>
      </x:c>
      <x:c r="E24" s="19" t="str">
        <x:f>IFERROR(AVERAGEIF('Report Card'!$A$6:$A$28,E$21,'Report Card'!$I$6:$I$28),"")</x:f>
      </x:c>
      <x:c r="F24" s="19" t="n">
        <x:f>IFERROR((IF(B24="",0,B24*$K$13)+IF(C24="",0,C24*$K$14)+IF(D24="",0,D24*$K$15)+IF(E24="",0,E24*$K$16))/(IF(B24="",0,$K$13)+IF(C24="",0,$K$14)+IF(D24="",0,$K$15)+IF(E24="",0,$K$16)),"")</x:f>
        <x:v>0.252</x:v>
      </x:c>
    </x:row>
    <x:row r="25" ht="15" hidden="0" customHeight="1">
      <x:c r="A25" s="17" t="str">
        <x:v>2024-Q4</x:v>
      </x:c>
      <x:c r="B25" s="19" t="str">
        <x:f>IFERROR(AVERAGEIF('Report Card'!$A$6:$A$28,B$21,'Report Card'!$K$6:$K$28),"")</x:f>
      </x:c>
      <x:c r="C25" s="19" t="n">
        <x:f>IFERROR(AVERAGEIF('Report Card'!$A$6:$A$28,C$21,'Report Card'!$K$6:$K$28),"")</x:f>
        <x:v>0.24</x:v>
      </x:c>
      <x:c r="D25" s="19" t="n">
        <x:f>IFERROR(AVERAGEIF('Report Card'!$A$6:$A$28,D$21,'Report Card'!$K$6:$K$28),"")</x:f>
        <x:v>0.252</x:v>
      </x:c>
      <x:c r="E25" s="19" t="str">
        <x:f>IFERROR(AVERAGEIF('Report Card'!$A$6:$A$28,E$21,'Report Card'!$K$6:$K$28),"")</x:f>
      </x:c>
      <x:c r="F25" s="19" t="n">
        <x:f>IFERROR((IF(B25="",0,B25*$K$13)+IF(C25="",0,C25*$K$14)+IF(D25="",0,D25*$K$15)+IF(E25="",0,E25*$K$16))/(IF(B25="",0,$K$13)+IF(C25="",0,$K$14)+IF(D25="",0,$K$15)+IF(E25="",0,$K$16)),"")</x:f>
        <x:v>0.24461538461538465</x:v>
      </x:c>
    </x:row>
    <x:row r="26" ht="15" hidden="0" customHeight="1">
      <x:c r="A26" s="17" t="str">
        <x:v>2025-Q1</x:v>
      </x:c>
      <x:c r="B26" s="19" t="str">
        <x:f>IFERROR(AVERAGEIF('Report Card'!$A$6:$A$28,B$21,'Report Card'!$M$6:$M$28),"")</x:f>
      </x:c>
      <x:c r="C26" s="19" t="n">
        <x:f>IFERROR(AVERAGEIF('Report Card'!$A$6:$A$28,C$21,'Report Card'!$M$6:$M$28),"")</x:f>
        <x:v>0.24</x:v>
      </x:c>
      <x:c r="D26" s="19" t="n">
        <x:f>IFERROR(AVERAGEIF('Report Card'!$A$6:$A$28,D$21,'Report Card'!$M$6:$M$28),"")</x:f>
        <x:v>0.252</x:v>
      </x:c>
      <x:c r="E26" s="19" t="str">
        <x:f>IFERROR(AVERAGEIF('Report Card'!$A$6:$A$28,E$21,'Report Card'!$M$6:$M$28),"")</x:f>
      </x:c>
      <x:c r="F26" s="19" t="n">
        <x:f>IFERROR((IF(B26="",0,B26*$K$13)+IF(C26="",0,C26*$K$14)+IF(D26="",0,D26*$K$15)+IF(E26="",0,E26*$K$16))/(IF(B26="",0,$K$13)+IF(C26="",0,$K$14)+IF(D26="",0,$K$15)+IF(E26="",0,$K$16)),"")</x:f>
        <x:v>0.24461538461538465</x:v>
      </x:c>
    </x:row>
    <x:row r="27" ht="15" hidden="0" customHeight="1">
      <x:c r="A27" s="17" t="str">
        <x:v>2025-Q2</x:v>
      </x:c>
      <x:c r="B27" s="19" t="str">
        <x:f>IFERROR(AVERAGEIF('Report Card'!$A$6:$A$28,B$21,'Report Card'!$O$6:$O$28),"")</x:f>
      </x:c>
      <x:c r="C27" s="19" t="n">
        <x:f>IFERROR(AVERAGEIF('Report Card'!$A$6:$A$28,C$21,'Report Card'!$O$6:$O$28),"")</x:f>
        <x:v>0.2515</x:v>
      </x:c>
      <x:c r="D27" s="19" t="n">
        <x:f>IFERROR(AVERAGEIF('Report Card'!$A$6:$A$28,D$21,'Report Card'!$O$6:$O$28),"")</x:f>
        <x:v>0.252</x:v>
      </x:c>
      <x:c r="E27" s="19" t="str">
        <x:f>IFERROR(AVERAGEIF('Report Card'!$A$6:$A$28,E$21,'Report Card'!$O$6:$O$28),"")</x:f>
      </x:c>
      <x:c r="F27" s="19" t="n">
        <x:f>IFERROR((IF(B27="",0,B27*$K$13)+IF(C27="",0,C27*$K$14)+IF(D27="",0,D27*$K$15)+IF(E27="",0,E27*$K$16))/(IF(B27="",0,$K$13)+IF(C27="",0,$K$14)+IF(D27="",0,$K$15)+IF(E27="",0,$K$16)),"")</x:f>
        <x:v>0.2516923076923077</x:v>
      </x:c>
    </x:row>
    <x:row r="28" ht="15" hidden="0" customHeight="1">
      <x:c r="A28" s="17" t="str">
        <x:v>2025-Q3</x:v>
      </x:c>
      <x:c r="B28" s="19" t="str">
        <x:f>IFERROR(AVERAGEIF('Report Card'!$A$6:$A$28,B$21,'Report Card'!$Q$6:$Q$28),"")</x:f>
      </x:c>
      <x:c r="C28" s="19" t="n">
        <x:f>IFERROR(AVERAGEIF('Report Card'!$A$6:$A$28,C$21,'Report Card'!$Q$6:$Q$28),"")</x:f>
        <x:v>0.341</x:v>
      </x:c>
      <x:c r="D28" s="19" t="n">
        <x:f>IFERROR(AVERAGEIF('Report Card'!$A$6:$A$28,D$21,'Report Card'!$Q$6:$Q$28),"")</x:f>
        <x:v>0.367</x:v>
      </x:c>
      <x:c r="E28" s="19" t="n">
        <x:f>IFERROR(AVERAGEIF('Report Card'!$A$6:$A$28,E$21,'Report Card'!$Q$6:$Q$28),"")</x:f>
        <x:v>0.0208</x:v>
      </x:c>
      <x:c r="F28" s="19" t="n">
        <x:f>IFERROR((IF(B28="",0,B28*$K$13)+IF(C28="",0,C28*$K$14)+IF(D28="",0,D28*$K$15)+IF(E28="",0,E28*$K$16))/(IF(B28="",0,$K$13)+IF(C28="",0,$K$14)+IF(D28="",0,$K$15)+IF(E28="",0,$K$16)),"")</x:f>
        <x:v>0.2733058823529412</x:v>
      </x:c>
    </x:row>
    <x:row r="29" ht="15" hidden="0" customHeight="1">
      <x:c r="A29" s="17" t="str">
        <x:v>2025-Q4</x:v>
      </x:c>
      <x:c r="B29" s="19" t="str">
        <x:f>IFERROR(AVERAGEIF('Report Card'!$A$6:$A$28,B$21,'Report Card'!$S$6:$S$28),"")</x:f>
      </x:c>
      <x:c r="C29" s="19" t="n">
        <x:f>IFERROR(AVERAGEIF('Report Card'!$A$6:$A$28,C$21,'Report Card'!$S$6:$S$28),"")</x:f>
        <x:v>0.3638</x:v>
      </x:c>
      <x:c r="D29" s="19" t="n">
        <x:f>IFERROR(AVERAGEIF('Report Card'!$A$6:$A$28,D$21,'Report Card'!$S$6:$S$28),"")</x:f>
        <x:v>0.367</x:v>
      </x:c>
      <x:c r="E29" s="19" t="n">
        <x:f>IFERROR(AVERAGEIF('Report Card'!$A$6:$A$28,E$21,'Report Card'!$S$6:$S$28),"")</x:f>
        <x:v>0.0375</x:v>
      </x:c>
      <x:c r="F29" s="19" t="n">
        <x:f>IFERROR((IF(B29="",0,B29*$K$13)+IF(C29="",0,C29*$K$14)+IF(D29="",0,D29*$K$15)+IF(E29="",0,E29*$K$16))/(IF(B29="",0,$K$13)+IF(C29="",0,$K$14)+IF(D29="",0,$K$15)+IF(E29="",0,$K$16)),"")</x:f>
        <x:v>0.28796470588235296</x:v>
      </x:c>
    </x:row>
    <x:row r="30" ht="15" hidden="0" customHeight="1">
      <x:c r="A30" s="17" t="str">
        <x:v>2026-Q1</x:v>
      </x:c>
      <x:c r="B30" s="19" t="n">
        <x:f>IFERROR(AVERAGEIF('Report Card'!$A$6:$A$28,B$21,'Report Card'!$U$6:$U$28),"")</x:f>
        <x:v>0.46363166666666666</x:v>
      </x:c>
      <x:c r="C30" s="19" t="n">
        <x:f>IFERROR(AVERAGEIF('Report Card'!$A$6:$A$28,C$21,'Report Card'!$U$6:$U$28),"")</x:f>
        <x:v>0.4523333333333334</x:v>
      </x:c>
      <x:c r="D30" s="19" t="n">
        <x:f>IFERROR(AVERAGEIF('Report Card'!$A$6:$A$28,D$21,'Report Card'!$U$6:$U$28),"")</x:f>
        <x:v>0.5416666666666666</x:v>
      </x:c>
      <x:c r="E30" s="19" t="n">
        <x:f>IFERROR(AVERAGEIF('Report Card'!$A$6:$A$28,E$21,'Report Card'!$U$6:$U$28),"")</x:f>
        <x:v>0.37284999999999996</x:v>
      </x:c>
      <x:c r="F30" s="19" t="n">
        <x:f>IFERROR((IF(B30="",0,B30*$K$13)+IF(C30="",0,C30*$K$14)+IF(D30="",0,D30*$K$15)+IF(E30="",0,E30*$K$16))/(IF(B30="",0,$K$13)+IF(C30="",0,$K$14)+IF(D30="",0,$K$15)+IF(E30="",0,$K$16)),"")</x:f>
        <x:v>0.4608431865828092</x:v>
      </x:c>
    </x:row>
    <x:row r="31" ht="15" hidden="0" customHeight="1">
      <x:c r="A31" s="17" t="str">
        <x:v>2026-Q2</x:v>
      </x:c>
      <x:c r="B31" s="19" t="n">
        <x:f>IFERROR(AVERAGEIF('Report Card'!$A$6:$A$28,B$21,'Report Card'!$W$6:$W$28),"")</x:f>
        <x:v>0.4948350774062049</x:v>
      </x:c>
      <x:c r="C31" s="19" t="n">
        <x:f>IFERROR(AVERAGEIF('Report Card'!$A$6:$A$28,C$21,'Report Card'!$W$6:$W$28),"")</x:f>
        <x:v>0.4943857142857143</x:v>
      </x:c>
      <x:c r="D31" s="19" t="n">
        <x:f>IFERROR(AVERAGEIF('Report Card'!$A$6:$A$28,D$21,'Report Card'!$W$6:$W$28),"")</x:f>
        <x:v>0.4895</x:v>
      </x:c>
      <x:c r="E31" s="19" t="n">
        <x:f>IFERROR(AVERAGEIF('Report Card'!$A$6:$A$28,E$21,'Report Card'!$W$6:$W$28),"")</x:f>
        <x:v>0.431</x:v>
      </x:c>
      <x:c r="F31" s="19" t="n">
        <x:f>IFERROR((IF(B31="",0,B31*$K$13)+IF(C31="",0,C31*$K$14)+IF(D31="",0,D31*$K$15)+IF(E31="",0,E31*$K$16))/(IF(B31="",0,$K$13)+IF(C31="",0,$K$14)+IF(D31="",0,$K$15)+IF(E31="",0,$K$16)),"")</x:f>
        <x:v>0.4822610257625673</x:v>
      </x:c>
      <x:c r="H31" s="13" t="str">
        <x:v>LEGEND / READING RULE</x:v>
      </x:c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</x:row>
    <x:row r="32" ht="15" hidden="0" customHeight="1">
      <x:c r="A32" s="17" t="str">
        <x:v>2026-Q3</x:v>
      </x:c>
      <x:c r="B32" s="19" t="n">
        <x:f>IFERROR(AVERAGEIF('Report Card'!$A$6:$A$28,B$21,'Report Card'!$Y$6:$Y$28),"")</x:f>
        <x:v>0.411119997193754</x:v>
      </x:c>
      <x:c r="C32" s="19" t="n">
        <x:f>IFERROR(AVERAGEIF('Report Card'!$A$6:$A$28,C$21,'Report Card'!$Y$6:$Y$28),"")</x:f>
        <x:v>0.5348571428571428</x:v>
      </x:c>
      <x:c r="D32" s="19" t="n">
        <x:f>IFERROR(AVERAGEIF('Report Card'!$A$6:$A$28,D$21,'Report Card'!$Y$6:$Y$28),"")</x:f>
        <x:v>0.4895</x:v>
      </x:c>
      <x:c r="E32" s="19" t="n">
        <x:f>IFERROR(AVERAGEIF('Report Card'!$A$6:$A$28,E$21,'Report Card'!$Y$6:$Y$28),"")</x:f>
        <x:v>0.431</x:v>
      </x:c>
      <x:c r="F32" s="19" t="n">
        <x:f>IFERROR((IF(B32="",0,B32*$K$13)+IF(C32="",0,C32*$K$14)+IF(D32="",0,D32*$K$15)+IF(E32="",0,E32*$K$16))/(IF(B32="",0,$K$13)+IF(C32="",0,$K$14)+IF(D32="",0,$K$15)+IF(E32="",0,$K$16)),"")</x:f>
        <x:v>0.4754547162751583</x:v>
      </x:c>
      <x:c r="H32" s="42" t="str">
        <x:v>Observed</x:v>
      </x:c>
      <x:c r="I32" s="17" t="str">
        <x:v>Blue cells are sourced release-quarter frontiers.</x:v>
      </x:c>
      <x:c r="J32" s="17"/>
      <x:c r="K32" s="17"/>
      <x:c r="L32" s="17"/>
      <x:c r="M32" s="17"/>
      <x:c r="N32" s="17"/>
      <x:c r="O32" s="17"/>
      <x:c r="P32" s="17"/>
      <x:c r="Q32" s="17"/>
      <x:c r="R32" s="17"/>
    </x:row>
    <x:row r="33" ht="15" hidden="0" customHeight="1">
      <x:c r="A33" s="17" t="str">
        <x:v>2026-Q4</x:v>
      </x:c>
      <x:c r="B33" s="19" t="n">
        <x:f>IFERROR(AVERAGEIF('Report Card'!$A$6:$A$28,B$21,'Report Card'!$AA$6:$AA$28),"")</x:f>
        <x:v>0.41173537761105267</x:v>
      </x:c>
      <x:c r="C33" s="19" t="n">
        <x:f>IFERROR(AVERAGEIF('Report Card'!$A$6:$A$28,C$21,'Report Card'!$AA$6:$AA$28),"")</x:f>
        <x:v>0.585604707113973</x:v>
      </x:c>
      <x:c r="D33" s="19" t="n">
        <x:f>IFERROR(AVERAGEIF('Report Card'!$A$6:$A$28,D$21,'Report Card'!$AA$6:$AA$28),"")</x:f>
        <x:v>0.49596835802127504</x:v>
      </x:c>
      <x:c r="E33" s="19" t="n">
        <x:f>IFERROR(AVERAGEIF('Report Card'!$A$6:$A$28,E$21,'Report Card'!$AA$6:$AA$28),"")</x:f>
        <x:v>0.5045057474556296</x:v>
      </x:c>
      <x:c r="F33" s="19" t="n">
        <x:f>IFERROR((IF(B33="",0,B33*$K$13)+IF(C33="",0,C33*$K$14)+IF(D33="",0,D33*$K$15)+IF(E33="",0,E33*$K$16))/(IF(B33="",0,$K$13)+IF(C33="",0,$K$14)+IF(D33="",0,$K$15)+IF(E33="",0,$K$16)),"")</x:f>
        <x:v>0.5078511456750117</x:v>
      </x:c>
      <x:c r="H33" s="41" t="str">
        <x:v>Carried</x:v>
      </x:c>
      <x:c r="I33" s="17" t="str">
        <x:v>Gray cells hold the last observed frontier between releases.</x:v>
      </x:c>
      <x:c r="J33" s="17"/>
      <x:c r="K33" s="17"/>
      <x:c r="L33" s="17"/>
      <x:c r="M33" s="17"/>
      <x:c r="N33" s="17"/>
      <x:c r="O33" s="17"/>
      <x:c r="P33" s="17"/>
      <x:c r="Q33" s="17"/>
      <x:c r="R33" s="17"/>
    </x:row>
    <x:row r="34" ht="15" hidden="0" customHeight="1">
      <x:c r="A34" s="17" t="str">
        <x:v>2027-Q1</x:v>
      </x:c>
      <x:c r="B34" s="19" t="n">
        <x:f>IFERROR(AVERAGEIF('Report Card'!$A$6:$A$28,B$21,'Report Card'!$AC$6:$AC$28),"")</x:f>
        <x:v>0.41234808035015463</x:v>
      </x:c>
      <x:c r="C34" s="19" t="n">
        <x:f>IFERROR(AVERAGEIF('Report Card'!$A$6:$A$28,C$21,'Report Card'!$AC$6:$AC$28),"")</x:f>
        <x:v>0.6326578162812213</x:v>
      </x:c>
      <x:c r="D34" s="19" t="n">
        <x:f>IFERROR(AVERAGEIF('Report Card'!$A$6:$A$28,D$21,'Report Card'!$AC$6:$AC$28),"")</x:f>
        <x:v>0.5021723264343897</x:v>
      </x:c>
      <x:c r="E34" s="19" t="n">
        <x:f>IFERROR(AVERAGEIF('Report Card'!$A$6:$A$28,E$21,'Report Card'!$AC$6:$AC$28),"")</x:f>
        <x:v>0.5988820122205774</x:v>
      </x:c>
      <x:c r="F34" s="19" t="n">
        <x:f>IFERROR((IF(B34="",0,B34*$K$13)+IF(C34="",0,C34*$K$14)+IF(D34="",0,D34*$K$15)+IF(E34="",0,E34*$K$16))/(IF(B34="",0,$K$13)+IF(C34="",0,$K$14)+IF(D34="",0,$K$15)+IF(E34="",0,$K$16)),"")</x:f>
        <x:v>0.5425628219693986</x:v>
      </x:c>
      <x:c r="H34" s="43" t="str">
        <x:v>Projected</x:v>
      </x:c>
      <x:c r="I34" s="17" t="str">
        <x:v>Gold cells extrapolate failure-gap velocity/acceleration.</x:v>
      </x:c>
      <x:c r="J34" s="17"/>
      <x:c r="K34" s="17"/>
      <x:c r="L34" s="17"/>
      <x:c r="M34" s="17"/>
      <x:c r="N34" s="17"/>
      <x:c r="O34" s="17"/>
      <x:c r="P34" s="17"/>
      <x:c r="Q34" s="17"/>
      <x:c r="R34" s="17"/>
    </x:row>
    <x:row r="35" ht="15" hidden="0" customHeight="1">
      <x:c r="A35" s="17" t="str">
        <x:v>2027-Q2</x:v>
      </x:c>
      <x:c r="B35" s="19" t="n">
        <x:f>IFERROR(AVERAGEIF('Report Card'!$A$6:$A$28,B$21,'Report Card'!$AE$6:$AE$28),"")</x:f>
        <x:v>0.4129581169304344</x:v>
      </x:c>
      <x:c r="C35" s="19" t="n">
        <x:f>IFERROR(AVERAGEIF('Report Card'!$A$6:$A$28,C$21,'Report Card'!$AE$6:$AE$28),"")</x:f>
        <x:v>0.6722381094693379</x:v>
      </x:c>
      <x:c r="D35" s="19" t="n">
        <x:f>IFERROR(AVERAGEIF('Report Card'!$A$6:$A$28,D$21,'Report Card'!$AE$6:$AE$28),"")</x:f>
        <x:v>0.5081227119795819</x:v>
      </x:c>
      <x:c r="E35" s="19" t="n">
        <x:f>IFERROR(AVERAGEIF('Report Card'!$A$6:$A$28,E$21,'Report Card'!$AE$6:$AE$28),"")</x:f>
        <x:v>0.6892922475171135</x:v>
      </x:c>
      <x:c r="F35" s="19" t="n">
        <x:f>IFERROR((IF(B35="",0,B35*$K$13)+IF(C35="",0,C35*$K$14)+IF(D35="",0,D35*$K$15)+IF(E35="",0,E35*$K$16))/(IF(B35="",0,$K$13)+IF(C35="",0,$K$14)+IF(D35="",0,$K$15)+IF(E35="",0,$K$16)),"")</x:f>
        <x:v>0.5738876519324834</x:v>
      </x:c>
      <x:c r="H35" s="17" t="str">
        <x:v>Δ score</x:v>
      </x:c>
      <x:c r="I35" s="17" t="str">
        <x:v>Quarter-over-quarter percentage-point change in the normalized benchmark score; this is not acceleration.</x:v>
      </x:c>
      <x:c r="J35" s="17"/>
      <x:c r="K35" s="17"/>
      <x:c r="L35" s="17"/>
      <x:c r="M35" s="17"/>
      <x:c r="N35" s="17"/>
      <x:c r="O35" s="17"/>
      <x:c r="P35" s="17"/>
      <x:c r="Q35" s="17"/>
      <x:c r="R35" s="17"/>
    </x:row>
    <x:row r="36" ht="15" hidden="0" customHeight="1">
      <x:c r="A36" s="17" t="str">
        <x:v>2027-Q3</x:v>
      </x:c>
      <x:c r="B36" s="19" t="n">
        <x:f>IFERROR(AVERAGEIF('Report Card'!$A$6:$A$28,B$21,'Report Card'!$AG$6:$AG$28),"")</x:f>
        <x:v>0.41356549895360756</x:v>
      </x:c>
      <x:c r="C36" s="19" t="n">
        <x:f>IFERROR(AVERAGEIF('Report Card'!$A$6:$A$28,C$21,'Report Card'!$AG$6:$AG$28),"")</x:f>
        <x:v>0.7031496365481767</x:v>
      </x:c>
      <x:c r="D36" s="19" t="n">
        <x:f>IFERROR(AVERAGEIF('Report Card'!$A$6:$A$28,D$21,'Report Card'!$AG$6:$AG$28),"")</x:f>
        <x:v>0.5138298796791444</x:v>
      </x:c>
      <x:c r="E36" s="19" t="n">
        <x:f>IFERROR(AVERAGEIF('Report Card'!$A$6:$A$28,E$21,'Report Card'!$AG$6:$AG$28),"")</x:f>
        <x:v>0.7596996524545245</x:v>
      </x:c>
      <x:c r="F36" s="19" t="n">
        <x:f>IFERROR((IF(B36="",0,B36*$K$13)+IF(C36="",0,C36*$K$14)+IF(D36="",0,D36*$K$15)+IF(E36="",0,E36*$K$16))/(IF(B36="",0,$K$13)+IF(C36="",0,$K$14)+IF(D36="",0,$K$15)+IF(E36="",0,$K$16)),"")</x:f>
        <x:v>0.5985826142285467</x:v>
      </x:c>
      <x:c r="H36" s="17" t="str">
        <x:v>Gap velocity</x:v>
      </x:c>
      <x:c r="I36" s="17" t="str">
        <x:v>Failure-gap halvings per quarter, estimated only from benchmarks with at least two observations.</x:v>
      </x:c>
      <x:c r="J36" s="17"/>
      <x:c r="K36" s="17"/>
      <x:c r="L36" s="17"/>
      <x:c r="M36" s="17"/>
      <x:c r="N36" s="17"/>
      <x:c r="O36" s="17"/>
      <x:c r="P36" s="17"/>
      <x:c r="Q36" s="17"/>
      <x:c r="R36" s="17"/>
    </x:row>
    <x:row r="37" ht="15" hidden="0" customHeight="1">
      <x:c r="A37" s="17" t="str">
        <x:v>2027-Q4</x:v>
      </x:c>
      <x:c r="B37" s="19" t="n">
        <x:f>IFERROR(AVERAGEIF('Report Card'!$A$6:$A$28,B$21,'Report Card'!$AI$6:$AI$28),"")</x:f>
        <x:v>0.414170237970905</x:v>
      </x:c>
      <x:c r="C37" s="19" t="n">
        <x:f>IFERROR(AVERAGEIF('Report Card'!$A$6:$A$28,C$21,'Report Card'!$AI$6:$AI$28),"")</x:f>
        <x:v>0.7247142264089005</x:v>
      </x:c>
      <x:c r="D37" s="19" t="n">
        <x:f>IFERROR(AVERAGEIF('Report Card'!$A$6:$A$28,D$21,'Report Card'!$AI$6:$AI$28),"")</x:f>
        <x:v>0.5193037708923357</x:v>
      </x:c>
      <x:c r="E37" s="19" t="n">
        <x:f>IFERROR(AVERAGEIF('Report Card'!$A$6:$A$28,E$21,'Report Card'!$AI$6:$AI$28),"")</x:f>
        <x:v>0.8057929460443367</x:v>
      </x:c>
      <x:c r="F37" s="19" t="n">
        <x:f>IFERROR((IF(B37="",0,B37*$K$13)+IF(C37="",0,C37*$K$14)+IF(D37="",0,D37*$K$15)+IF(E37="",0,E37*$K$16))/(IF(B37="",0,$K$13)+IF(C37="",0,$K$14)+IF(D37="",0,$K$15)+IF(E37="",0,$K$16)),"")</x:f>
        <x:v>0.6156518281019359</x:v>
      </x:c>
      <x:c r="H37" s="17" t="str">
        <x:v>Gap acceleration</x:v>
      </x:c>
      <x:c r="I37" s="17" t="str">
        <x:v>Change in failure-gap velocity per quarter², estimated only from benchmarks with at least three observations. Positive means progress is speeding up.</x:v>
      </x:c>
      <x:c r="J37" s="17"/>
      <x:c r="K37" s="17"/>
      <x:c r="L37" s="17"/>
      <x:c r="M37" s="17"/>
      <x:c r="N37" s="17"/>
      <x:c r="O37" s="17"/>
      <x:c r="P37" s="17"/>
      <x:c r="Q37" s="17"/>
      <x:c r="R37" s="17"/>
    </x:row>
    <x:row r="38" ht="15" hidden="0" customHeight="1">
      <x:c r="A38" s="17" t="str">
        <x:v>2028-Q1</x:v>
      </x:c>
      <x:c r="B38" s="19" t="n">
        <x:f>IFERROR(AVERAGEIF('Report Card'!$A$6:$A$28,B$21,'Report Card'!$AK$6:$AK$28),"")</x:f>
        <x:v>0.41477234548329284</x:v>
      </x:c>
      <x:c r="C38" s="19" t="n">
        <x:f>IFERROR(AVERAGEIF('Report Card'!$A$6:$A$28,C$21,'Report Card'!$AK$6:$AK$28),"")</x:f>
        <x:v>0.7391533872186862</x:v>
      </x:c>
      <x:c r="D38" s="19" t="n">
        <x:f>IFERROR(AVERAGEIF('Report Card'!$A$6:$A$28,D$21,'Report Card'!$AK$6:$AK$28),"")</x:f>
        <x:v>0.524553920632311</x:v>
      </x:c>
      <x:c r="E38" s="19" t="n">
        <x:f>IFERROR(AVERAGEIF('Report Card'!$A$6:$A$28,E$21,'Report Card'!$AK$6:$AK$28),"")</x:f>
        <x:v>0.8315862366021204</x:v>
      </x:c>
      <x:c r="F38" s="19" t="n">
        <x:f>IFERROR((IF(B38="",0,B38*$K$13)+IF(C38="",0,C38*$K$14)+IF(D38="",0,D38*$K$15)+IF(E38="",0,E38*$K$16))/(IF(B38="",0,$K$13)+IF(C38="",0,$K$14)+IF(D38="",0,$K$15)+IF(E38="",0,$K$16)),"")</x:f>
        <x:v>0.6265867003180403</x:v>
      </x:c>
      <x:c r="H38" s="17" t="str">
        <x:v>Acceleration coverage</x:v>
      </x:c>
      <x:c r="I38" s="17" t="str">
        <x:v>Benchmarks with a 3+ point acceleration estimate divided by graded benchmarks. Coverage prevents a sparse estimate from looking universal.</x:v>
      </x:c>
      <x:c r="J38" s="17"/>
      <x:c r="K38" s="17"/>
      <x:c r="L38" s="17"/>
      <x:c r="M38" s="17"/>
      <x:c r="N38" s="17"/>
      <x:c r="O38" s="17"/>
      <x:c r="P38" s="17"/>
      <x:c r="Q38" s="17"/>
      <x:c r="R38" s="17"/>
    </x:row>
    <x:row r="39" ht="15" hidden="0" customHeight="1">
      <x:c r="A39" s="17" t="str">
        <x:v>2028-Q2</x:v>
      </x:c>
      <x:c r="B39" s="19" t="n">
        <x:f>IFERROR(AVERAGEIF('Report Card'!$A$6:$A$28,B$21,'Report Card'!$AM$6:$AM$28),"")</x:f>
        <x:v>0.41537183294169105</x:v>
      </x:c>
      <x:c r="C39" s="19" t="n">
        <x:f>IFERROR(AVERAGEIF('Report Card'!$A$6:$A$28,C$21,'Report Card'!$AM$6:$AM$28),"")</x:f>
        <x:v>0.7489298368839602</x:v>
      </x:c>
      <x:c r="D39" s="19" t="n">
        <x:f>IFERROR(AVERAGEIF('Report Card'!$A$6:$A$28,D$21,'Report Card'!$AM$6:$AM$28),"")</x:f>
        <x:v>0.5295894741752345</x:v>
      </x:c>
      <x:c r="E39" s="19" t="n">
        <x:f>IFERROR(AVERAGEIF('Report Card'!$A$6:$A$28,E$21,'Report Card'!$AM$6:$AM$28),"")</x:f>
        <x:v>0.8440411975090854</x:v>
      </x:c>
      <x:c r="F39" s="19" t="n">
        <x:f>IFERROR((IF(B39="",0,B39*$K$13)+IF(C39="",0,C39*$K$14)+IF(D39="",0,D39*$K$15)+IF(E39="",0,E39*$K$16))/(IF(B39="",0,$K$13)+IF(C39="",0,$K$14)+IF(D39="",0,$K$15)+IF(E39="",0,$K$16)),"")</x:f>
        <x:v>0.6334825742739434</x:v>
      </x:c>
      <x:c r="H39" s="17" t="str">
        <x:v>Confidence</x:v>
      </x:c>
      <x:c r="I39" s="17" t="str">
        <x:v>Evidence coverage and longitudinal depth: one credit per distinct quarterly observation, capped at three per benchmark. Category weight = credits ÷ maximum credits. High ≥80%; Medium ≥50%; Low &lt;50%.</x:v>
      </x:c>
      <x:c r="J39" s="17"/>
      <x:c r="K39" s="17"/>
      <x:c r="L39" s="17"/>
      <x:c r="M39" s="17"/>
      <x:c r="N39" s="17"/>
      <x:c r="O39" s="17"/>
      <x:c r="P39" s="17"/>
      <x:c r="Q39" s="17"/>
      <x:c r="R39" s="17"/>
    </x:row>
    <x:row r="40" ht="15" hidden="0" customHeight="1">
      <x:c r="A40" s="17" t="str">
        <x:v>2028-Q3</x:v>
      </x:c>
      <x:c r="B40" s="19" t="n">
        <x:f>IFERROR(AVERAGEIF('Report Card'!$A$6:$A$28,B$21,'Report Card'!$AO$6:$AO$28),"")</x:f>
        <x:v>0.41596871174719136</x:v>
      </x:c>
      <x:c r="C40" s="19" t="n">
        <x:f>IFERROR(AVERAGEIF('Report Card'!$A$6:$A$28,C$21,'Report Card'!$AO$6:$AO$28),"")</x:f>
        <x:v>0.7559490367936539</x:v>
      </x:c>
      <x:c r="D40" s="19" t="n">
        <x:f>IFERROR(AVERAGEIF('Report Card'!$A$6:$A$28,D$21,'Report Card'!$AO$6:$AO$28),"")</x:f>
        <x:v>0.5344192029905058</x:v>
      </x:c>
      <x:c r="E40" s="19" t="n">
        <x:f>IFERROR(AVERAGEIF('Report Card'!$A$6:$A$28,E$21,'Report Card'!$AO$6:$AO$28),"")</x:f>
        <x:v>0.8492616924053543</x:v>
      </x:c>
      <x:c r="F40" s="19" t="n">
        <x:f>IFERROR((IF(B40="",0,B40*$K$13)+IF(C40="",0,C40*$K$14)+IF(D40="",0,D40*$K$15)+IF(E40="",0,E40*$K$16))/(IF(B40="",0,$K$13)+IF(C40="",0,$K$14)+IF(D40="",0,$K$15)+IF(E40="",0,$K$16)),"")</x:f>
        <x:v>0.6380873837883642</x:v>
      </x:c>
      <x:c r="H40" s="17" t="str">
        <x:v>Direct stewardship</x:v>
      </x:c>
      <x:c r="I40" s="17" t="str">
        <x:v>Low confidence: all 7 sources are graded, but 4 newly normalized series and EnterpriseArena each have one observation. Only Vending-Bench has a 3-point acceleration estimate.</x:v>
      </x:c>
      <x:c r="J40" s="17"/>
      <x:c r="K40" s="17"/>
      <x:c r="L40" s="17"/>
      <x:c r="M40" s="17"/>
      <x:c r="N40" s="17"/>
      <x:c r="O40" s="17"/>
      <x:c r="P40" s="17"/>
      <x:c r="Q40" s="17"/>
      <x:c r="R40" s="17"/>
    </x:row>
    <x:row r="41" ht="15" hidden="0" customHeight="1">
      <x:c r="A41" s="17" t="str">
        <x:v>2028-Q4</x:v>
      </x:c>
      <x:c r="B41" s="19" t="n">
        <x:f>IFERROR(AVERAGEIF('Report Card'!$A$6:$A$28,B$21,'Report Card'!$AQ$6:$AQ$28),"")</x:f>
        <x:v>0.41656299325127366</x:v>
      </x:c>
      <x:c r="C41" s="19" t="n">
        <x:f>IFERROR(AVERAGEIF('Report Card'!$A$6:$A$28,C$21,'Report Card'!$AQ$6:$AQ$28),"")</x:f>
        <x:v>0.7614002449377768</x:v>
      </x:c>
      <x:c r="D41" s="19" t="n">
        <x:f>IFERROR(AVERAGEIF('Report Card'!$A$6:$A$28,D$21,'Report Card'!$AQ$6:$AQ$28),"")</x:f>
        <x:v>0.5390515200198509</x:v>
      </x:c>
      <x:c r="E41" s="19" t="n">
        <x:f>IFERROR(AVERAGEIF('Report Card'!$A$6:$A$28,E$21,'Report Card'!$AQ$6:$AQ$28),"")</x:f>
        <x:v>0.8511685682823786</x:v>
      </x:c>
      <x:c r="F41" s="19" t="n">
        <x:f>IFERROR((IF(B41="",0,B41*$K$13)+IF(C41="",0,C41*$K$14)+IF(D41="",0,D41*$K$15)+IF(E41="",0,E41*$K$16))/(IF(B41="",0,$K$13)+IF(C41="",0,$K$14)+IF(D41="",0,$K$15)+IF(E41="",0,$K$16)),"")</x:f>
        <x:v>0.6415123054035713</x:v>
      </x:c>
      <x:c r="H41" s="17" t="str">
        <x:v>Caution</x:v>
      </x:c>
      <x:c r="I41" s="17" t="str">
        <x:v>The composite uses continuous confidence weights. Sparse series project flat or constant velocity; projections are scenarios, not calibrated probabilities.</x:v>
      </x:c>
      <x:c r="J41" s="17"/>
      <x:c r="K41" s="17"/>
      <x:c r="L41" s="17"/>
      <x:c r="M41" s="17"/>
      <x:c r="N41" s="17"/>
      <x:c r="O41" s="17"/>
      <x:c r="P41" s="17"/>
      <x:c r="Q41" s="17"/>
      <x:c r="R41" s="17"/>
    </x:row>
  </x:sheetData>
  <x:mergeCells>
    <x:mergeCell ref="A1:R2"/>
    <x:mergeCell ref="A3:R3"/>
    <x:mergeCell ref="A5:C5"/>
    <x:mergeCell ref="D5:F5"/>
    <x:mergeCell ref="G5:I5"/>
    <x:mergeCell ref="J5:L5"/>
    <x:mergeCell ref="M5:O5"/>
    <x:mergeCell ref="P5:R5"/>
    <x:mergeCell ref="A6:C9"/>
    <x:mergeCell ref="D6:F9"/>
    <x:mergeCell ref="G6:I9"/>
    <x:mergeCell ref="J6:L9"/>
    <x:mergeCell ref="M6:O9"/>
    <x:mergeCell ref="P6:R9"/>
    <x:mergeCell ref="A11:K11"/>
    <x:mergeCell ref="A20:F20"/>
    <x:mergeCell ref="H31:R31"/>
    <x:mergeCell ref="I32:R32"/>
    <x:mergeCell ref="I33:R33"/>
    <x:mergeCell ref="I34:R34"/>
    <x:mergeCell ref="I35:R35"/>
    <x:mergeCell ref="I36:R36"/>
    <x:mergeCell ref="I37:R37"/>
    <x:mergeCell ref="I38:R38"/>
    <x:mergeCell ref="I39:R39"/>
    <x:mergeCell ref="I40:R40"/>
    <x:mergeCell ref="I41:R41"/>
  </x:mergeCells>
  <x:conditionalFormatting sqref="J13:J17">
    <x:cfRule type="expression" dxfId="5" priority="1">
      <x:formula>J13="High"</x:formula>
    </x:cfRule>
    <x:cfRule type="expression" dxfId="6" priority="2">
      <x:formula>J13="Medium"</x:formula>
    </x:cfRule>
    <x:cfRule type="expression" dxfId="7" priority="3">
      <x:formula>J13="Low"</x:formula>
    </x:cfRule>
  </x:conditionalFormatting>
  <x:pageMargins left="0.7" right="0.7" top="0.75" bottom="0.75" header="0.3" footer="0.3"/>
  <x:drawing xmlns:r="http://schemas.openxmlformats.org/officeDocument/2006/relationships" r:id="Reaa1a2dc08354d8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24" hidden="0" customWidth="1"/>
    <x:col min="4" max="4" width="42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  <x:col min="27" max="27" width="9" hidden="0" customWidth="1"/>
    <x:col min="28" max="28" width="9" hidden="0" customWidth="1"/>
    <x:col min="29" max="29" width="9" hidden="0" customWidth="1"/>
    <x:col min="30" max="30" width="9" hidden="0" customWidth="1"/>
    <x:col min="31" max="31" width="9" hidden="0" customWidth="1"/>
    <x:col min="32" max="32" width="9" hidden="0" customWidth="1"/>
    <x:col min="33" max="33" width="9" hidden="0" customWidth="1"/>
    <x:col min="34" max="34" width="9" hidden="0" customWidth="1"/>
    <x:col min="35" max="35" width="9" hidden="0" customWidth="1"/>
    <x:col min="36" max="36" width="9" hidden="0" customWidth="1"/>
    <x:col min="37" max="37" width="9" hidden="0" customWidth="1"/>
    <x:col min="38" max="38" width="9" hidden="0" customWidth="1"/>
    <x:col min="39" max="39" width="9" hidden="0" customWidth="1"/>
    <x:col min="40" max="40" width="9" hidden="0" customWidth="1"/>
    <x:col min="41" max="41" width="9" hidden="0" customWidth="1"/>
    <x:col min="42" max="42" width="9" hidden="0" customWidth="1"/>
    <x:col min="43" max="43" width="9" hidden="0" customWidth="1"/>
    <x:col min="44" max="44" width="9" hidden="0" customWidth="1"/>
    <x:col min="45" max="45" width="13" hidden="0" customWidth="1"/>
    <x:col min="46" max="46" width="9" hidden="0" customWidth="1"/>
    <x:col min="47" max="47" width="9" hidden="0" customWidth="1"/>
    <x:col min="48" max="48" width="12" hidden="0" customWidth="1"/>
    <x:col min="49" max="49" width="15" hidden="0" customWidth="1"/>
    <x:col min="50" max="50" width="17" hidden="0" customWidth="1"/>
    <x:col min="51" max="51" width="38" hidden="0" customWidth="1"/>
  </x:cols>
  <x:sheetData>
    <x:row r="1" ht="28" customHeight="1">
      <x:c r="A1" s="3" t="str">
        <x:v>Personal AI Capability Report Card — 2024-Q1 to 2028-Q4</x:v>
      </x:c>
      <x:c r="B1" s="3" t="str">
        <x:v>Personal AI Capability Report Card — 2024-Q1 to 2028-Q4</x:v>
      </x:c>
      <x:c r="C1" s="3" t="str">
        <x:v>Personal AI Capability Report Card — 2024-Q1 to 2028-Q4</x:v>
      </x:c>
      <x:c r="D1" s="3" t="str">
        <x:v>Personal AI Capability Report Card — 2024-Q1 to 2028-Q4</x:v>
      </x:c>
      <x:c r="E1" s="3" t="str">
        <x:v>Personal AI Capability Report Card — 2024-Q1 to 2028-Q4</x:v>
      </x:c>
      <x:c r="F1" s="3" t="str">
        <x:v>Personal AI Capability Report Card — 2024-Q1 to 2028-Q4</x:v>
      </x:c>
      <x:c r="G1" s="3" t="str">
        <x:v>Personal AI Capability Report Card — 2024-Q1 to 2028-Q4</x:v>
      </x:c>
      <x:c r="H1" s="3" t="str">
        <x:v>Personal AI Capability Report Card — 2024-Q1 to 2028-Q4</x:v>
      </x:c>
      <x:c r="I1" s="3" t="str">
        <x:v>Personal AI Capability Report Card — 2024-Q1 to 2028-Q4</x:v>
      </x:c>
      <x:c r="J1" s="3" t="str">
        <x:v>Personal AI Capability Report Card — 2024-Q1 to 2028-Q4</x:v>
      </x:c>
      <x:c r="K1" s="3" t="str">
        <x:v>Personal AI Capability Report Card — 2024-Q1 to 2028-Q4</x:v>
      </x:c>
      <x:c r="L1" s="3" t="str">
        <x:v>Personal AI Capability Report Card — 2024-Q1 to 2028-Q4</x:v>
      </x:c>
      <x:c r="M1" s="3" t="str">
        <x:v>Personal AI Capability Report Card — 2024-Q1 to 2028-Q4</x:v>
      </x:c>
      <x:c r="N1" s="3" t="str">
        <x:v>Personal AI Capability Report Card — 2024-Q1 to 2028-Q4</x:v>
      </x:c>
      <x:c r="O1" s="3" t="str">
        <x:v>Personal AI Capability Report Card — 2024-Q1 to 2028-Q4</x:v>
      </x:c>
      <x:c r="P1" s="3" t="str">
        <x:v>Personal AI Capability Report Card — 2024-Q1 to 2028-Q4</x:v>
      </x:c>
      <x:c r="Q1" s="3" t="str">
        <x:v>Personal AI Capability Report Card — 2024-Q1 to 2028-Q4</x:v>
      </x:c>
      <x:c r="R1" s="3" t="str">
        <x:v>Personal AI Capability Report Card — 2024-Q1 to 2028-Q4</x:v>
      </x:c>
      <x:c r="S1" s="3" t="str">
        <x:v>Personal AI Capability Report Card — 2024-Q1 to 2028-Q4</x:v>
      </x:c>
      <x:c r="T1" s="3" t="str">
        <x:v>Personal AI Capability Report Card — 2024-Q1 to 2028-Q4</x:v>
      </x:c>
      <x:c r="U1" s="3" t="str">
        <x:v>Personal AI Capability Report Card — 2024-Q1 to 2028-Q4</x:v>
      </x:c>
      <x:c r="V1" s="3" t="str">
        <x:v>Personal AI Capability Report Card — 2024-Q1 to 2028-Q4</x:v>
      </x:c>
      <x:c r="W1" s="3" t="str">
        <x:v>Personal AI Capability Report Card — 2024-Q1 to 2028-Q4</x:v>
      </x:c>
      <x:c r="X1" s="3" t="str">
        <x:v>Personal AI Capability Report Card — 2024-Q1 to 2028-Q4</x:v>
      </x:c>
      <x:c r="Y1" s="3" t="str">
        <x:v>Personal AI Capability Report Card — 2024-Q1 to 2028-Q4</x:v>
      </x:c>
      <x:c r="Z1" s="3" t="str">
        <x:v>Personal AI Capability Report Card — 2024-Q1 to 2028-Q4</x:v>
      </x:c>
      <x:c r="AA1" s="3" t="str">
        <x:v>Personal AI Capability Report Card — 2024-Q1 to 2028-Q4</x:v>
      </x:c>
      <x:c r="AB1" s="3" t="str">
        <x:v>Personal AI Capability Report Card — 2024-Q1 to 2028-Q4</x:v>
      </x:c>
      <x:c r="AC1" s="3" t="str">
        <x:v>Personal AI Capability Report Card — 2024-Q1 to 2028-Q4</x:v>
      </x:c>
      <x:c r="AD1" s="3" t="str">
        <x:v>Personal AI Capability Report Card — 2024-Q1 to 2028-Q4</x:v>
      </x:c>
      <x:c r="AE1" s="3" t="str">
        <x:v>Personal AI Capability Report Card — 2024-Q1 to 2028-Q4</x:v>
      </x:c>
      <x:c r="AF1" s="3" t="str">
        <x:v>Personal AI Capability Report Card — 2024-Q1 to 2028-Q4</x:v>
      </x:c>
      <x:c r="AG1" s="3" t="str">
        <x:v>Personal AI Capability Report Card — 2024-Q1 to 2028-Q4</x:v>
      </x:c>
      <x:c r="AH1" s="3" t="str">
        <x:v>Personal AI Capability Report Card — 2024-Q1 to 2028-Q4</x:v>
      </x:c>
      <x:c r="AI1" s="3" t="str">
        <x:v>Personal AI Capability Report Card — 2024-Q1 to 2028-Q4</x:v>
      </x:c>
      <x:c r="AJ1" s="3" t="str">
        <x:v>Personal AI Capability Report Card — 2024-Q1 to 2028-Q4</x:v>
      </x:c>
      <x:c r="AK1" s="3" t="str">
        <x:v>Personal AI Capability Report Card — 2024-Q1 to 2028-Q4</x:v>
      </x:c>
      <x:c r="AL1" s="3" t="str">
        <x:v>Personal AI Capability Report Card — 2024-Q1 to 2028-Q4</x:v>
      </x:c>
      <x:c r="AM1" s="3" t="str">
        <x:v>Personal AI Capability Report Card — 2024-Q1 to 2028-Q4</x:v>
      </x:c>
      <x:c r="AN1" s="3" t="str">
        <x:v>Personal AI Capability Report Card — 2024-Q1 to 2028-Q4</x:v>
      </x:c>
      <x:c r="AO1" s="3" t="str">
        <x:v>Personal AI Capability Report Card — 2024-Q1 to 2028-Q4</x:v>
      </x:c>
      <x:c r="AP1" s="3" t="str">
        <x:v>Personal AI Capability Report Card — 2024-Q1 to 2028-Q4</x:v>
      </x:c>
      <x:c r="AQ1" s="3" t="str">
        <x:v>Personal AI Capability Report Card — 2024-Q1 to 2028-Q4</x:v>
      </x:c>
      <x:c r="AR1" s="3" t="str">
        <x:v>Personal AI Capability Report Card — 2024-Q1 to 2028-Q4</x:v>
      </x:c>
      <x:c r="AS1" s="3" t="str">
        <x:v>Personal AI Capability Report Card — 2024-Q1 to 2028-Q4</x:v>
      </x:c>
      <x:c r="AT1" s="3" t="str">
        <x:v>Personal AI Capability Report Card — 2024-Q1 to 2028-Q4</x:v>
      </x:c>
      <x:c r="AU1" s="3" t="str">
        <x:v>Personal AI Capability Report Card — 2024-Q1 to 2028-Q4</x:v>
      </x:c>
      <x:c r="AV1" s="3" t="str">
        <x:v>Personal AI Capability Report Card — 2024-Q1 to 2028-Q4</x:v>
      </x:c>
      <x:c r="AW1" s="3" t="str">
        <x:v>Personal AI Capability Report Card — 2024-Q1 to 2028-Q4</x:v>
      </x:c>
      <x:c r="AX1" s="3" t="str">
        <x:v>Personal AI Capability Report Card — 2024-Q1 to 2028-Q4</x:v>
      </x:c>
      <x:c r="AY1" s="3" t="str">
        <x:v>Personal AI Capability Report Card — 2024-Q1 to 2028-Q4</x:v>
      </x:c>
    </x:row>
    <x:row r="2" ht="28" customHeight="1">
      <x:c r="A2" s="3" t="str">
        <x:v>Personal AI Capability Report Card — 2024-Q1 to 2028-Q4</x:v>
      </x:c>
      <x:c r="B2" s="3" t="str">
        <x:v>Personal AI Capability Report Card — 2024-Q1 to 2028-Q4</x:v>
      </x:c>
      <x:c r="C2" s="3" t="str">
        <x:v>Personal AI Capability Report Card — 2024-Q1 to 2028-Q4</x:v>
      </x:c>
      <x:c r="D2" s="3" t="str">
        <x:v>Personal AI Capability Report Card — 2024-Q1 to 2028-Q4</x:v>
      </x:c>
      <x:c r="E2" s="3" t="str">
        <x:v>Personal AI Capability Report Card — 2024-Q1 to 2028-Q4</x:v>
      </x:c>
      <x:c r="F2" s="3" t="str">
        <x:v>Personal AI Capability Report Card — 2024-Q1 to 2028-Q4</x:v>
      </x:c>
      <x:c r="G2" s="3" t="str">
        <x:v>Personal AI Capability Report Card — 2024-Q1 to 2028-Q4</x:v>
      </x:c>
      <x:c r="H2" s="3" t="str">
        <x:v>Personal AI Capability Report Card — 2024-Q1 to 2028-Q4</x:v>
      </x:c>
      <x:c r="I2" s="3" t="str">
        <x:v>Personal AI Capability Report Card — 2024-Q1 to 2028-Q4</x:v>
      </x:c>
      <x:c r="J2" s="3" t="str">
        <x:v>Personal AI Capability Report Card — 2024-Q1 to 2028-Q4</x:v>
      </x:c>
      <x:c r="K2" s="3" t="str">
        <x:v>Personal AI Capability Report Card — 2024-Q1 to 2028-Q4</x:v>
      </x:c>
      <x:c r="L2" s="3" t="str">
        <x:v>Personal AI Capability Report Card — 2024-Q1 to 2028-Q4</x:v>
      </x:c>
      <x:c r="M2" s="3" t="str">
        <x:v>Personal AI Capability Report Card — 2024-Q1 to 2028-Q4</x:v>
      </x:c>
      <x:c r="N2" s="3" t="str">
        <x:v>Personal AI Capability Report Card — 2024-Q1 to 2028-Q4</x:v>
      </x:c>
      <x:c r="O2" s="3" t="str">
        <x:v>Personal AI Capability Report Card — 2024-Q1 to 2028-Q4</x:v>
      </x:c>
      <x:c r="P2" s="3" t="str">
        <x:v>Personal AI Capability Report Card — 2024-Q1 to 2028-Q4</x:v>
      </x:c>
      <x:c r="Q2" s="3" t="str">
        <x:v>Personal AI Capability Report Card — 2024-Q1 to 2028-Q4</x:v>
      </x:c>
      <x:c r="R2" s="3" t="str">
        <x:v>Personal AI Capability Report Card — 2024-Q1 to 2028-Q4</x:v>
      </x:c>
      <x:c r="S2" s="3" t="str">
        <x:v>Personal AI Capability Report Card — 2024-Q1 to 2028-Q4</x:v>
      </x:c>
      <x:c r="T2" s="3" t="str">
        <x:v>Personal AI Capability Report Card — 2024-Q1 to 2028-Q4</x:v>
      </x:c>
      <x:c r="U2" s="3" t="str">
        <x:v>Personal AI Capability Report Card — 2024-Q1 to 2028-Q4</x:v>
      </x:c>
      <x:c r="V2" s="3" t="str">
        <x:v>Personal AI Capability Report Card — 2024-Q1 to 2028-Q4</x:v>
      </x:c>
      <x:c r="W2" s="3" t="str">
        <x:v>Personal AI Capability Report Card — 2024-Q1 to 2028-Q4</x:v>
      </x:c>
      <x:c r="X2" s="3" t="str">
        <x:v>Personal AI Capability Report Card — 2024-Q1 to 2028-Q4</x:v>
      </x:c>
      <x:c r="Y2" s="3" t="str">
        <x:v>Personal AI Capability Report Card — 2024-Q1 to 2028-Q4</x:v>
      </x:c>
      <x:c r="Z2" s="3" t="str">
        <x:v>Personal AI Capability Report Card — 2024-Q1 to 2028-Q4</x:v>
      </x:c>
      <x:c r="AA2" s="3" t="str">
        <x:v>Personal AI Capability Report Card — 2024-Q1 to 2028-Q4</x:v>
      </x:c>
      <x:c r="AB2" s="3" t="str">
        <x:v>Personal AI Capability Report Card — 2024-Q1 to 2028-Q4</x:v>
      </x:c>
      <x:c r="AC2" s="3" t="str">
        <x:v>Personal AI Capability Report Card — 2024-Q1 to 2028-Q4</x:v>
      </x:c>
      <x:c r="AD2" s="3" t="str">
        <x:v>Personal AI Capability Report Card — 2024-Q1 to 2028-Q4</x:v>
      </x:c>
      <x:c r="AE2" s="3" t="str">
        <x:v>Personal AI Capability Report Card — 2024-Q1 to 2028-Q4</x:v>
      </x:c>
      <x:c r="AF2" s="3" t="str">
        <x:v>Personal AI Capability Report Card — 2024-Q1 to 2028-Q4</x:v>
      </x:c>
      <x:c r="AG2" s="3" t="str">
        <x:v>Personal AI Capability Report Card — 2024-Q1 to 2028-Q4</x:v>
      </x:c>
      <x:c r="AH2" s="3" t="str">
        <x:v>Personal AI Capability Report Card — 2024-Q1 to 2028-Q4</x:v>
      </x:c>
      <x:c r="AI2" s="3" t="str">
        <x:v>Personal AI Capability Report Card — 2024-Q1 to 2028-Q4</x:v>
      </x:c>
      <x:c r="AJ2" s="3" t="str">
        <x:v>Personal AI Capability Report Card — 2024-Q1 to 2028-Q4</x:v>
      </x:c>
      <x:c r="AK2" s="3" t="str">
        <x:v>Personal AI Capability Report Card — 2024-Q1 to 2028-Q4</x:v>
      </x:c>
      <x:c r="AL2" s="3" t="str">
        <x:v>Personal AI Capability Report Card — 2024-Q1 to 2028-Q4</x:v>
      </x:c>
      <x:c r="AM2" s="3" t="str">
        <x:v>Personal AI Capability Report Card — 2024-Q1 to 2028-Q4</x:v>
      </x:c>
      <x:c r="AN2" s="3" t="str">
        <x:v>Personal AI Capability Report Card — 2024-Q1 to 2028-Q4</x:v>
      </x:c>
      <x:c r="AO2" s="3" t="str">
        <x:v>Personal AI Capability Report Card — 2024-Q1 to 2028-Q4</x:v>
      </x:c>
      <x:c r="AP2" s="3" t="str">
        <x:v>Personal AI Capability Report Card — 2024-Q1 to 2028-Q4</x:v>
      </x:c>
      <x:c r="AQ2" s="3" t="str">
        <x:v>Personal AI Capability Report Card — 2024-Q1 to 2028-Q4</x:v>
      </x:c>
      <x:c r="AR2" s="3" t="str">
        <x:v>Personal AI Capability Report Card — 2024-Q1 to 2028-Q4</x:v>
      </x:c>
      <x:c r="AS2" s="3" t="str">
        <x:v>Personal AI Capability Report Card — 2024-Q1 to 2028-Q4</x:v>
      </x:c>
      <x:c r="AT2" s="3" t="str">
        <x:v>Personal AI Capability Report Card — 2024-Q1 to 2028-Q4</x:v>
      </x:c>
      <x:c r="AU2" s="3" t="str">
        <x:v>Personal AI Capability Report Card — 2024-Q1 to 2028-Q4</x:v>
      </x:c>
      <x:c r="AV2" s="3" t="str">
        <x:v>Personal AI Capability Report Card — 2024-Q1 to 2028-Q4</x:v>
      </x:c>
      <x:c r="AW2" s="3" t="str">
        <x:v>Personal AI Capability Report Card — 2024-Q1 to 2028-Q4</x:v>
      </x:c>
      <x:c r="AX2" s="3" t="str">
        <x:v>Personal AI Capability Report Card — 2024-Q1 to 2028-Q4</x:v>
      </x:c>
      <x:c r="AY2" s="3" t="str">
        <x:v>Personal AI Capability Report Card — 2024-Q1 to 2028-Q4</x:v>
      </x:c>
    </x:row>
    <x:row r="3" ht="15" hidden="0" customHeight="1">
      <x:c r="A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B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C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D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E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F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G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H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I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J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K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L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M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N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O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P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Q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R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S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T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U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V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W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X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Y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Z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AA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AB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AC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AD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AE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AF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AG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AH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AI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AJ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AK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AL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AM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AN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AO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AP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AQ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AR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AS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AT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AU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AV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AW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AX3" s="6" t="str">
        <x:v>Blue = observed release-quarter frontier; gray = carried frontier; gold = projected. Δ score is quarter-over-quarter percentage-point change; acceleration is failure-gap acceleration per quarter². As of 2026-08-26.</x:v>
      </x:c>
      <x:c r="AY3" s="6" t="str">
        <x:v>Blue = observed release-quarter frontier; gray = carried frontier; gold = projected. Δ score is quarter-over-quarter percentage-point change; acceleration is failure-gap acceleration per quarter². As of 2026-08-26.</x:v>
      </x:c>
    </x:row>
    <x:row r="4" ht="32" hidden="0" customHeight="1">
      <x:c r="A4" s="13" t="str">
        <x:v>Category</x:v>
      </x:c>
      <x:c r="B4" s="13" t="str">
        <x:v>Benchmark ID</x:v>
      </x:c>
      <x:c r="C4" s="13" t="str">
        <x:v>Benchmark Name</x:v>
      </x:c>
      <x:c r="D4" s="13" t="str">
        <x:v>Score basis</x:v>
      </x:c>
      <x:c r="E4" s="13" t="str">
        <x:v>2024-Q1</x:v>
      </x:c>
      <x:c r="F4" s="13" t="str">
        <x:v>2024-Q1</x:v>
      </x:c>
      <x:c r="G4" s="13" t="str">
        <x:v>2024-Q2</x:v>
      </x:c>
      <x:c r="H4" s="13" t="str">
        <x:v>2024-Q2</x:v>
      </x:c>
      <x:c r="I4" s="13" t="str">
        <x:v>2024-Q3</x:v>
      </x:c>
      <x:c r="J4" s="13" t="str">
        <x:v>2024-Q3</x:v>
      </x:c>
      <x:c r="K4" s="13" t="str">
        <x:v>2024-Q4</x:v>
      </x:c>
      <x:c r="L4" s="13" t="str">
        <x:v>2024-Q4</x:v>
      </x:c>
      <x:c r="M4" s="13" t="str">
        <x:v>2025-Q1</x:v>
      </x:c>
      <x:c r="N4" s="13" t="str">
        <x:v>2025-Q1</x:v>
      </x:c>
      <x:c r="O4" s="13" t="str">
        <x:v>2025-Q2</x:v>
      </x:c>
      <x:c r="P4" s="13" t="str">
        <x:v>2025-Q2</x:v>
      </x:c>
      <x:c r="Q4" s="13" t="str">
        <x:v>2025-Q3</x:v>
      </x:c>
      <x:c r="R4" s="13" t="str">
        <x:v>2025-Q3</x:v>
      </x:c>
      <x:c r="S4" s="13" t="str">
        <x:v>2025-Q4</x:v>
      </x:c>
      <x:c r="T4" s="13" t="str">
        <x:v>2025-Q4</x:v>
      </x:c>
      <x:c r="U4" s="13" t="str">
        <x:v>2026-Q1</x:v>
      </x:c>
      <x:c r="V4" s="13" t="str">
        <x:v>2026-Q1</x:v>
      </x:c>
      <x:c r="W4" s="13" t="str">
        <x:v>2026-Q2</x:v>
      </x:c>
      <x:c r="X4" s="13" t="str">
        <x:v>2026-Q2</x:v>
      </x:c>
      <x:c r="Y4" s="13" t="str">
        <x:v>2026-Q3</x:v>
      </x:c>
      <x:c r="Z4" s="13" t="str">
        <x:v>2026-Q3</x:v>
      </x:c>
      <x:c r="AA4" s="28" t="str">
        <x:v>2026-Q4</x:v>
      </x:c>
      <x:c r="AB4" s="28" t="str">
        <x:v>2026-Q4</x:v>
      </x:c>
      <x:c r="AC4" s="28" t="str">
        <x:v>2027-Q1</x:v>
      </x:c>
      <x:c r="AD4" s="28" t="str">
        <x:v>2027-Q1</x:v>
      </x:c>
      <x:c r="AE4" s="28" t="str">
        <x:v>2027-Q2</x:v>
      </x:c>
      <x:c r="AF4" s="28" t="str">
        <x:v>2027-Q2</x:v>
      </x:c>
      <x:c r="AG4" s="28" t="str">
        <x:v>2027-Q3</x:v>
      </x:c>
      <x:c r="AH4" s="28" t="str">
        <x:v>2027-Q3</x:v>
      </x:c>
      <x:c r="AI4" s="28" t="str">
        <x:v>2027-Q4</x:v>
      </x:c>
      <x:c r="AJ4" s="28" t="str">
        <x:v>2027-Q4</x:v>
      </x:c>
      <x:c r="AK4" s="28" t="str">
        <x:v>2028-Q1</x:v>
      </x:c>
      <x:c r="AL4" s="28" t="str">
        <x:v>2028-Q1</x:v>
      </x:c>
      <x:c r="AM4" s="28" t="str">
        <x:v>2028-Q2</x:v>
      </x:c>
      <x:c r="AN4" s="28" t="str">
        <x:v>2028-Q2</x:v>
      </x:c>
      <x:c r="AO4" s="28" t="str">
        <x:v>2028-Q3</x:v>
      </x:c>
      <x:c r="AP4" s="28" t="str">
        <x:v>2028-Q3</x:v>
      </x:c>
      <x:c r="AQ4" s="28" t="str">
        <x:v>2028-Q4</x:v>
      </x:c>
      <x:c r="AR4" s="28" t="str">
        <x:v>2028-Q4</x:v>
      </x:c>
      <x:c r="AS4" s="13" t="str">
        <x:v>CURRENT STATUS &amp; FORECAST MODEL</x:v>
      </x:c>
      <x:c r="AT4" s="13" t="str">
        <x:v>CURRENT STATUS &amp; FORECAST MODEL</x:v>
      </x:c>
      <x:c r="AU4" s="13" t="str">
        <x:v>CURRENT STATUS &amp; FORECAST MODEL</x:v>
      </x:c>
      <x:c r="AV4" s="13" t="str">
        <x:v>CURRENT STATUS &amp; FORECAST MODEL</x:v>
      </x:c>
      <x:c r="AW4" s="13" t="str">
        <x:v>CURRENT STATUS &amp; FORECAST MODEL</x:v>
      </x:c>
      <x:c r="AX4" s="13" t="str">
        <x:v>CURRENT STATUS &amp; FORECAST MODEL</x:v>
      </x:c>
      <x:c r="AY4" s="13" t="str">
        <x:v>CURRENT STATUS &amp; FORECAST MODEL</x:v>
      </x:c>
    </x:row>
    <x:row r="5" ht="32" hidden="0" customHeight="1">
      <x:c r="A5" s="13"/>
      <x:c r="B5" s="13"/>
      <x:c r="C5" s="13"/>
      <x:c r="D5" s="13"/>
      <x:c r="E5" s="13" t="str">
        <x:v>Score</x:v>
      </x:c>
      <x:c r="F5" s="13" t="str">
        <x:v>Δ score</x:v>
      </x:c>
      <x:c r="G5" s="13" t="str">
        <x:v>Score</x:v>
      </x:c>
      <x:c r="H5" s="13" t="str">
        <x:v>Δ score</x:v>
      </x:c>
      <x:c r="I5" s="13" t="str">
        <x:v>Score</x:v>
      </x:c>
      <x:c r="J5" s="13" t="str">
        <x:v>Δ score</x:v>
      </x:c>
      <x:c r="K5" s="13" t="str">
        <x:v>Score</x:v>
      </x:c>
      <x:c r="L5" s="13" t="str">
        <x:v>Δ score</x:v>
      </x:c>
      <x:c r="M5" s="13" t="str">
        <x:v>Score</x:v>
      </x:c>
      <x:c r="N5" s="13" t="str">
        <x:v>Δ score</x:v>
      </x:c>
      <x:c r="O5" s="13" t="str">
        <x:v>Score</x:v>
      </x:c>
      <x:c r="P5" s="13" t="str">
        <x:v>Δ score</x:v>
      </x:c>
      <x:c r="Q5" s="13" t="str">
        <x:v>Score</x:v>
      </x:c>
      <x:c r="R5" s="13" t="str">
        <x:v>Δ score</x:v>
      </x:c>
      <x:c r="S5" s="13" t="str">
        <x:v>Score</x:v>
      </x:c>
      <x:c r="T5" s="13" t="str">
        <x:v>Δ score</x:v>
      </x:c>
      <x:c r="U5" s="13" t="str">
        <x:v>Score</x:v>
      </x:c>
      <x:c r="V5" s="13" t="str">
        <x:v>Δ score</x:v>
      </x:c>
      <x:c r="W5" s="13" t="str">
        <x:v>Score</x:v>
      </x:c>
      <x:c r="X5" s="13" t="str">
        <x:v>Δ score</x:v>
      </x:c>
      <x:c r="Y5" s="13" t="str">
        <x:v>Score</x:v>
      </x:c>
      <x:c r="Z5" s="13" t="str">
        <x:v>Δ score</x:v>
      </x:c>
      <x:c r="AA5" s="28" t="str">
        <x:v>Score</x:v>
      </x:c>
      <x:c r="AB5" s="28" t="str">
        <x:v>Δ score</x:v>
      </x:c>
      <x:c r="AC5" s="28" t="str">
        <x:v>Score</x:v>
      </x:c>
      <x:c r="AD5" s="28" t="str">
        <x:v>Δ score</x:v>
      </x:c>
      <x:c r="AE5" s="28" t="str">
        <x:v>Score</x:v>
      </x:c>
      <x:c r="AF5" s="28" t="str">
        <x:v>Δ score</x:v>
      </x:c>
      <x:c r="AG5" s="28" t="str">
        <x:v>Score</x:v>
      </x:c>
      <x:c r="AH5" s="28" t="str">
        <x:v>Δ score</x:v>
      </x:c>
      <x:c r="AI5" s="28" t="str">
        <x:v>Score</x:v>
      </x:c>
      <x:c r="AJ5" s="28" t="str">
        <x:v>Δ score</x:v>
      </x:c>
      <x:c r="AK5" s="28" t="str">
        <x:v>Score</x:v>
      </x:c>
      <x:c r="AL5" s="28" t="str">
        <x:v>Δ score</x:v>
      </x:c>
      <x:c r="AM5" s="28" t="str">
        <x:v>Score</x:v>
      </x:c>
      <x:c r="AN5" s="28" t="str">
        <x:v>Δ score</x:v>
      </x:c>
      <x:c r="AO5" s="28" t="str">
        <x:v>Score</x:v>
      </x:c>
      <x:c r="AP5" s="28" t="str">
        <x:v>Δ score</x:v>
      </x:c>
      <x:c r="AQ5" s="28" t="str">
        <x:v>Score</x:v>
      </x:c>
      <x:c r="AR5" s="28" t="str">
        <x:v>Δ score</x:v>
      </x:c>
      <x:c r="AS5" s="13" t="str">
        <x:v>Current Score</x:v>
      </x:c>
      <x:c r="AT5" s="13" t="str">
        <x:v>Letter</x:v>
      </x:c>
      <x:c r="AU5" s="13" t="str">
        <x:v>GPA</x:v>
      </x:c>
      <x:c r="AV5" s="13" t="str">
        <x:v>Overall GPA</x:v>
      </x:c>
      <x:c r="AW5" s="13" t="str">
        <x:v>Gap velocity (halvings/qtr)</x:v>
      </x:c>
      <x:c r="AX5" s="13" t="str">
        <x:v>Gap acceleration (halvings/qtr²)</x:v>
      </x:c>
      <x:c r="AY5" s="13" t="str">
        <x:v>Projection basis</x:v>
      </x:c>
    </x:row>
    <x:row r="6" ht="46" hidden="0" customHeight="1">
      <x:c r="A6" s="17" t="str">
        <x:v>Direct economic stewardship</x:v>
      </x:c>
      <x:c r="B6" s="17" t="str">
        <x:v>DES-01</x:v>
      </x:c>
      <x:c r="C6" s="17" t="str">
        <x:v>Vending-Bench 2</x:v>
      </x:c>
      <x:c r="D6" s="17" t="str">
        <x:v>Frontier ending balance / $63,000 published good-strategy target</x:v>
      </x:c>
      <x:c r="E6" s="44" t="str">
        <x:f>IF(COUNTIFS('Observations'!$A$6:$A$500,$B6,'Observations'!$F$6:$F$500,"&lt;="&amp;1)=0,"",SUMIFS('Observations'!$G$6:$G$500,'Observations'!$A$6:$A$500,$B6,'Observations'!$F$6:$F$500,MAXIFS('Observations'!$F$6:$F$500,'Observations'!$A$6:$A$500,$B6,'Observations'!$F$6:$F$500,"&lt;="&amp;1)))</x:f>
      </x:c>
      <x:c r="F6" s="44" t="str">
        <x:f>""</x:f>
      </x:c>
      <x:c r="G6" s="44" t="str">
        <x:f>IF(COUNTIFS('Observations'!$A$6:$A$500,$B6,'Observations'!$F$6:$F$500,"&lt;="&amp;2)=0,"",SUMIFS('Observations'!$G$6:$G$500,'Observations'!$A$6:$A$500,$B6,'Observations'!$F$6:$F$500,MAXIFS('Observations'!$F$6:$F$500,'Observations'!$A$6:$A$500,$B6,'Observations'!$F$6:$F$500,"&lt;="&amp;2)))</x:f>
      </x:c>
      <x:c r="H6" s="44" t="str">
        <x:f>IF(OR(G6="",E6=""),"",G6-E6)</x:f>
      </x:c>
      <x:c r="I6" s="44" t="str">
        <x:f>IF(COUNTIFS('Observations'!$A$6:$A$500,$B6,'Observations'!$F$6:$F$500,"&lt;="&amp;3)=0,"",SUMIFS('Observations'!$G$6:$G$500,'Observations'!$A$6:$A$500,$B6,'Observations'!$F$6:$F$500,MAXIFS('Observations'!$F$6:$F$500,'Observations'!$A$6:$A$500,$B6,'Observations'!$F$6:$F$500,"&lt;="&amp;3)))</x:f>
      </x:c>
      <x:c r="J6" s="44" t="str">
        <x:f>IF(OR(I6="",G6=""),"",I6-G6)</x:f>
      </x:c>
      <x:c r="K6" s="44" t="str">
        <x:f>IF(COUNTIFS('Observations'!$A$6:$A$500,$B6,'Observations'!$F$6:$F$500,"&lt;="&amp;4)=0,"",SUMIFS('Observations'!$G$6:$G$500,'Observations'!$A$6:$A$500,$B6,'Observations'!$F$6:$F$500,MAXIFS('Observations'!$F$6:$F$500,'Observations'!$A$6:$A$500,$B6,'Observations'!$F$6:$F$500,"&lt;="&amp;4)))</x:f>
      </x:c>
      <x:c r="L6" s="44" t="str">
        <x:f>IF(OR(K6="",I6=""),"",K6-I6)</x:f>
      </x:c>
      <x:c r="M6" s="44" t="str">
        <x:f>IF(COUNTIFS('Observations'!$A$6:$A$500,$B6,'Observations'!$F$6:$F$500,"&lt;="&amp;5)=0,"",SUMIFS('Observations'!$G$6:$G$500,'Observations'!$A$6:$A$500,$B6,'Observations'!$F$6:$F$500,MAXIFS('Observations'!$F$6:$F$500,'Observations'!$A$6:$A$500,$B6,'Observations'!$F$6:$F$500,"&lt;="&amp;5)))</x:f>
      </x:c>
      <x:c r="N6" s="44" t="str">
        <x:f>IF(OR(M6="",K6=""),"",M6-K6)</x:f>
      </x:c>
      <x:c r="O6" s="44" t="str">
        <x:f>IF(COUNTIFS('Observations'!$A$6:$A$500,$B6,'Observations'!$F$6:$F$500,"&lt;="&amp;6)=0,"",SUMIFS('Observations'!$G$6:$G$500,'Observations'!$A$6:$A$500,$B6,'Observations'!$F$6:$F$500,MAXIFS('Observations'!$F$6:$F$500,'Observations'!$A$6:$A$500,$B6,'Observations'!$F$6:$F$500,"&lt;="&amp;6)))</x:f>
      </x:c>
      <x:c r="P6" s="44" t="str">
        <x:f>IF(OR(O6="",M6=""),"",O6-M6)</x:f>
      </x:c>
      <x:c r="Q6" s="44" t="str">
        <x:f>IF(COUNTIFS('Observations'!$A$6:$A$500,$B6,'Observations'!$F$6:$F$500,"&lt;="&amp;7)=0,"",SUMIFS('Observations'!$G$6:$G$500,'Observations'!$A$6:$A$500,$B6,'Observations'!$F$6:$F$500,MAXIFS('Observations'!$F$6:$F$500,'Observations'!$A$6:$A$500,$B6,'Observations'!$F$6:$F$500,"&lt;="&amp;7)))</x:f>
      </x:c>
      <x:c r="R6" s="44" t="str">
        <x:f>IF(OR(Q6="",O6=""),"",Q6-O6)</x:f>
      </x:c>
      <x:c r="S6" s="44" t="str">
        <x:f>IF(COUNTIFS('Observations'!$A$6:$A$500,$B6,'Observations'!$F$6:$F$500,"&lt;="&amp;8)=0,"",SUMIFS('Observations'!$G$6:$G$500,'Observations'!$A$6:$A$500,$B6,'Observations'!$F$6:$F$500,MAXIFS('Observations'!$F$6:$F$500,'Observations'!$A$6:$A$500,$B6,'Observations'!$F$6:$F$500,"&lt;="&amp;8)))</x:f>
      </x:c>
      <x:c r="T6" s="44" t="str">
        <x:f>IF(OR(S6="",Q6=""),"",S6-Q6)</x:f>
      </x:c>
      <x:c r="U6" s="45" t="n">
        <x:f>IF(COUNTIFS('Observations'!$A$6:$A$500,$B6,'Observations'!$F$6:$F$500,"&lt;="&amp;9)=0,"",SUMIFS('Observations'!$G$6:$G$500,'Observations'!$A$6:$A$500,$B6,'Observations'!$F$6:$F$500,MAXIFS('Observations'!$F$6:$F$500,'Observations'!$A$6:$A$500,$B6,'Observations'!$F$6:$F$500,"&lt;="&amp;9)))</x:f>
        <x:v>0.12726333333333334</x:v>
      </x:c>
      <x:c r="V6" s="45" t="str">
        <x:f>IF(OR(U6="",S6=""),"",U6-S6)</x:f>
      </x:c>
      <x:c r="W6" s="45" t="n">
        <x:f>IF(COUNTIFS('Observations'!$A$6:$A$500,$B6,'Observations'!$F$6:$F$500,"&lt;="&amp;10)=0,"",SUMIFS('Observations'!$G$6:$G$500,'Observations'!$A$6:$A$500,$B6,'Observations'!$F$6:$F$500,MAXIFS('Observations'!$F$6:$F$500,'Observations'!$A$6:$A$500,$B6,'Observations'!$F$6:$F$500,"&lt;="&amp;10)))</x:f>
        <x:v>0.17359936507936508</x:v>
      </x:c>
      <x:c r="X6" s="45" t="n">
        <x:f>IF(OR(W6="",U6=""),"",W6-U6)</x:f>
        <x:v>0.046336031746031736</x:v>
      </x:c>
      <x:c r="Y6" s="45" t="n">
        <x:f>IF(COUNTIFS('Observations'!$A$6:$A$500,$B6,'Observations'!$F$6:$F$500,"&lt;="&amp;11)=0,"",SUMIFS('Observations'!$G$6:$G$500,'Observations'!$A$6:$A$500,$B6,'Observations'!$F$6:$F$500,MAXIFS('Observations'!$F$6:$F$500,'Observations'!$A$6:$A$500,$B6,'Observations'!$F$6:$F$500,"&lt;="&amp;11)))</x:f>
        <x:v>0.17749</x:v>
      </x:c>
      <x:c r="Z6" s="45" t="n">
        <x:f>IF(OR(Y6="",W6=""),"",Y6-W6)</x:f>
        <x:v>0.0038906349206349333</x:v>
      </x:c>
      <x:c r="AA6" s="46" t="n">
        <x:f>IF('Model'!$D6=0,"",1-POWER(2,-MAX('Model'!$M6,'Model'!$M6+'Model'!$N6*(12-'Methodology'!$B$8)+0.5*'Model'!$P6*POWER(12-'Methodology'!$B$8,2))))</x:f>
        <x:v>0.17749000000000004</x:v>
      </x:c>
      <x:c r="AB6" s="46" t="n">
        <x:f>IF(OR(AA6="",Y6=""),"",AA6-Y6)</x:f>
        <x:v>2.7755575615628914e-17</x:v>
      </x:c>
      <x:c r="AC6" s="46" t="n">
        <x:f>IF('Model'!$D6=0,"",1-POWER(2,-MAX('Model'!$M6,'Model'!$M6+'Model'!$N6*(13-'Methodology'!$B$8)+0.5*'Model'!$P6*POWER(13-'Methodology'!$B$8,2))))</x:f>
        <x:v>0.17749000000000004</x:v>
      </x:c>
      <x:c r="AD6" s="46" t="n">
        <x:f>IF(OR(AC6="",AA6=""),"",AC6-AA6)</x:f>
        <x:v>0</x:v>
      </x:c>
      <x:c r="AE6" s="46" t="n">
        <x:f>IF('Model'!$D6=0,"",1-POWER(2,-MAX('Model'!$M6,'Model'!$M6+'Model'!$N6*(14-'Methodology'!$B$8)+0.5*'Model'!$P6*POWER(14-'Methodology'!$B$8,2))))</x:f>
        <x:v>0.17749000000000004</x:v>
      </x:c>
      <x:c r="AF6" s="46" t="n">
        <x:f>IF(OR(AE6="",AC6=""),"",AE6-AC6)</x:f>
        <x:v>0</x:v>
      </x:c>
      <x:c r="AG6" s="46" t="n">
        <x:f>IF('Model'!$D6=0,"",1-POWER(2,-MAX('Model'!$M6,'Model'!$M6+'Model'!$N6*(15-'Methodology'!$B$8)+0.5*'Model'!$P6*POWER(15-'Methodology'!$B$8,2))))</x:f>
        <x:v>0.17749000000000004</x:v>
      </x:c>
      <x:c r="AH6" s="46" t="n">
        <x:f>IF(OR(AG6="",AE6=""),"",AG6-AE6)</x:f>
        <x:v>0</x:v>
      </x:c>
      <x:c r="AI6" s="46" t="n">
        <x:f>IF('Model'!$D6=0,"",1-POWER(2,-MAX('Model'!$M6,'Model'!$M6+'Model'!$N6*(16-'Methodology'!$B$8)+0.5*'Model'!$P6*POWER(16-'Methodology'!$B$8,2))))</x:f>
        <x:v>0.17749000000000004</x:v>
      </x:c>
      <x:c r="AJ6" s="46" t="n">
        <x:f>IF(OR(AI6="",AG6=""),"",AI6-AG6)</x:f>
        <x:v>0</x:v>
      </x:c>
      <x:c r="AK6" s="46" t="n">
        <x:f>IF('Model'!$D6=0,"",1-POWER(2,-MAX('Model'!$M6,'Model'!$M6+'Model'!$N6*(17-'Methodology'!$B$8)+0.5*'Model'!$P6*POWER(17-'Methodology'!$B$8,2))))</x:f>
        <x:v>0.17749000000000004</x:v>
      </x:c>
      <x:c r="AL6" s="46" t="n">
        <x:f>IF(OR(AK6="",AI6=""),"",AK6-AI6)</x:f>
        <x:v>0</x:v>
      </x:c>
      <x:c r="AM6" s="46" t="n">
        <x:f>IF('Model'!$D6=0,"",1-POWER(2,-MAX('Model'!$M6,'Model'!$M6+'Model'!$N6*(18-'Methodology'!$B$8)+0.5*'Model'!$P6*POWER(18-'Methodology'!$B$8,2))))</x:f>
        <x:v>0.17749000000000004</x:v>
      </x:c>
      <x:c r="AN6" s="46" t="n">
        <x:f>IF(OR(AM6="",AK6=""),"",AM6-AK6)</x:f>
        <x:v>0</x:v>
      </x:c>
      <x:c r="AO6" s="46" t="n">
        <x:f>IF('Model'!$D6=0,"",1-POWER(2,-MAX('Model'!$M6,'Model'!$M6+'Model'!$N6*(19-'Methodology'!$B$8)+0.5*'Model'!$P6*POWER(19-'Methodology'!$B$8,2))))</x:f>
        <x:v>0.17749000000000004</x:v>
      </x:c>
      <x:c r="AP6" s="46" t="n">
        <x:f>IF(OR(AO6="",AM6=""),"",AO6-AM6)</x:f>
        <x:v>0</x:v>
      </x:c>
      <x:c r="AQ6" s="46" t="n">
        <x:f>IF('Model'!$D6=0,"",1-POWER(2,-MAX('Model'!$M6,'Model'!$M6+'Model'!$N6*(20-'Methodology'!$B$8)+0.5*'Model'!$P6*POWER(20-'Methodology'!$B$8,2))))</x:f>
        <x:v>0.17749000000000004</x:v>
      </x:c>
      <x:c r="AR6" s="46" t="n">
        <x:f>IF(OR(AQ6="",AO6=""),"",AQ6-AO6)</x:f>
        <x:v>0</x:v>
      </x:c>
      <x:c r="AS6" s="24" t="n">
        <x:f>IF('Model'!$D6=0,"",Y6)</x:f>
        <x:v>0.17749</x:v>
      </x:c>
      <x:c r="AT6" s="17" t="str">
        <x:f>'Model'!S6</x:f>
        <x:v>F</x:v>
      </x:c>
      <x:c r="AU6" s="26" t="n">
        <x:f>IF('Model'!$D6=0,"",'Model'!T6)</x:f>
        <x:v>0</x:v>
      </x:c>
      <x:c r="AV6" s="26" t="n">
        <x:f>IFERROR((AVERAGEIF($A$6:$A$28,"Direct economic stewardship",$AU$6:$AU$28)*'Summary'!$K$13+AVERAGEIF($A$6:$A$28,"Operational execution",$AU$6:$AU$28)*'Summary'!$K$14+AVERAGEIF($A$6:$A$28,"Personal stewardship transfer",$AU$6:$AU$28)*'Summary'!$K$15+AVERAGEIF($A$6:$A$28,"Economic value &amp; governance",$AU$6:$AU$28)*'Summary'!$K$16)/SUM('Summary'!$K$13:$K$16),"")</x:f>
        <x:v>0.6336477987421384</x:v>
      </x:c>
      <x:c r="AW6" s="25" t="n">
        <x:f>'Model'!N6</x:f>
        <x:v>0.00680814351431791</x:v>
      </x:c>
      <x:c r="AX6" s="25" t="n">
        <x:f>'Model'!P6</x:f>
        <x:v>-0.0718969048742778</x:v>
      </x:c>
      <x:c r="AY6" s="17" t="str">
        <x:f>'Model'!Q6</x:f>
        <x:v>Velocity + acceleration — latest three observations</x:v>
      </x:c>
    </x:row>
    <x:row r="7" ht="46" hidden="0" customHeight="1">
      <x:c r="A7" s="17" t="str">
        <x:v>Direct economic stewardship</x:v>
      </x:c>
      <x:c r="B7" s="17" t="str">
        <x:v>DES-02</x:v>
      </x:c>
      <x:c r="C7" s="17" t="str">
        <x:v>CEO-Bench</x:v>
      </x:c>
      <x:c r="D7" s="17" t="str">
        <x:v>Frontier best-run final cash / $2.2B estimated upper bound</x:v>
      </x:c>
      <x:c r="E7" s="44" t="str">
        <x:f>IF(COUNTIFS('Observations'!$A$6:$A$500,$B7,'Observations'!$F$6:$F$500,"&lt;="&amp;1)=0,"",SUMIFS('Observations'!$G$6:$G$500,'Observations'!$A$6:$A$500,$B7,'Observations'!$F$6:$F$500,MAXIFS('Observations'!$F$6:$F$500,'Observations'!$A$6:$A$500,$B7,'Observations'!$F$6:$F$500,"&lt;="&amp;1)))</x:f>
      </x:c>
      <x:c r="F7" s="44" t="str">
        <x:f>""</x:f>
      </x:c>
      <x:c r="G7" s="44" t="str">
        <x:f>IF(COUNTIFS('Observations'!$A$6:$A$500,$B7,'Observations'!$F$6:$F$500,"&lt;="&amp;2)=0,"",SUMIFS('Observations'!$G$6:$G$500,'Observations'!$A$6:$A$500,$B7,'Observations'!$F$6:$F$500,MAXIFS('Observations'!$F$6:$F$500,'Observations'!$A$6:$A$500,$B7,'Observations'!$F$6:$F$500,"&lt;="&amp;2)))</x:f>
      </x:c>
      <x:c r="H7" s="44" t="str">
        <x:f>IF(OR(G7="",E7=""),"",G7-E7)</x:f>
      </x:c>
      <x:c r="I7" s="44" t="str">
        <x:f>IF(COUNTIFS('Observations'!$A$6:$A$500,$B7,'Observations'!$F$6:$F$500,"&lt;="&amp;3)=0,"",SUMIFS('Observations'!$G$6:$G$500,'Observations'!$A$6:$A$500,$B7,'Observations'!$F$6:$F$500,MAXIFS('Observations'!$F$6:$F$500,'Observations'!$A$6:$A$500,$B7,'Observations'!$F$6:$F$500,"&lt;="&amp;3)))</x:f>
      </x:c>
      <x:c r="J7" s="44" t="str">
        <x:f>IF(OR(I7="",G7=""),"",I7-G7)</x:f>
      </x:c>
      <x:c r="K7" s="44" t="str">
        <x:f>IF(COUNTIFS('Observations'!$A$6:$A$500,$B7,'Observations'!$F$6:$F$500,"&lt;="&amp;4)=0,"",SUMIFS('Observations'!$G$6:$G$500,'Observations'!$A$6:$A$500,$B7,'Observations'!$F$6:$F$500,MAXIFS('Observations'!$F$6:$F$500,'Observations'!$A$6:$A$500,$B7,'Observations'!$F$6:$F$500,"&lt;="&amp;4)))</x:f>
      </x:c>
      <x:c r="L7" s="44" t="str">
        <x:f>IF(OR(K7="",I7=""),"",K7-I7)</x:f>
      </x:c>
      <x:c r="M7" s="44" t="str">
        <x:f>IF(COUNTIFS('Observations'!$A$6:$A$500,$B7,'Observations'!$F$6:$F$500,"&lt;="&amp;5)=0,"",SUMIFS('Observations'!$G$6:$G$500,'Observations'!$A$6:$A$500,$B7,'Observations'!$F$6:$F$500,MAXIFS('Observations'!$F$6:$F$500,'Observations'!$A$6:$A$500,$B7,'Observations'!$F$6:$F$500,"&lt;="&amp;5)))</x:f>
      </x:c>
      <x:c r="N7" s="44" t="str">
        <x:f>IF(OR(M7="",K7=""),"",M7-K7)</x:f>
      </x:c>
      <x:c r="O7" s="44" t="str">
        <x:f>IF(COUNTIFS('Observations'!$A$6:$A$500,$B7,'Observations'!$F$6:$F$500,"&lt;="&amp;6)=0,"",SUMIFS('Observations'!$G$6:$G$500,'Observations'!$A$6:$A$500,$B7,'Observations'!$F$6:$F$500,MAXIFS('Observations'!$F$6:$F$500,'Observations'!$A$6:$A$500,$B7,'Observations'!$F$6:$F$500,"&lt;="&amp;6)))</x:f>
      </x:c>
      <x:c r="P7" s="44" t="str">
        <x:f>IF(OR(O7="",M7=""),"",O7-M7)</x:f>
      </x:c>
      <x:c r="Q7" s="44" t="str">
        <x:f>IF(COUNTIFS('Observations'!$A$6:$A$500,$B7,'Observations'!$F$6:$F$500,"&lt;="&amp;7)=0,"",SUMIFS('Observations'!$G$6:$G$500,'Observations'!$A$6:$A$500,$B7,'Observations'!$F$6:$F$500,MAXIFS('Observations'!$F$6:$F$500,'Observations'!$A$6:$A$500,$B7,'Observations'!$F$6:$F$500,"&lt;="&amp;7)))</x:f>
      </x:c>
      <x:c r="R7" s="44" t="str">
        <x:f>IF(OR(Q7="",O7=""),"",Q7-O7)</x:f>
      </x:c>
      <x:c r="S7" s="44" t="str">
        <x:f>IF(COUNTIFS('Observations'!$A$6:$A$500,$B7,'Observations'!$F$6:$F$500,"&lt;="&amp;8)=0,"",SUMIFS('Observations'!$G$6:$G$500,'Observations'!$A$6:$A$500,$B7,'Observations'!$F$6:$F$500,MAXIFS('Observations'!$F$6:$F$500,'Observations'!$A$6:$A$500,$B7,'Observations'!$F$6:$F$500,"&lt;="&amp;8)))</x:f>
      </x:c>
      <x:c r="T7" s="44" t="str">
        <x:f>IF(OR(S7="",Q7=""),"",S7-Q7)</x:f>
      </x:c>
      <x:c r="U7" s="44" t="str">
        <x:f>IF(COUNTIFS('Observations'!$A$6:$A$500,$B7,'Observations'!$F$6:$F$500,"&lt;="&amp;9)=0,"",SUMIFS('Observations'!$G$6:$G$500,'Observations'!$A$6:$A$500,$B7,'Observations'!$F$6:$F$500,MAXIFS('Observations'!$F$6:$F$500,'Observations'!$A$6:$A$500,$B7,'Observations'!$F$6:$F$500,"&lt;="&amp;9)))</x:f>
      </x:c>
      <x:c r="V7" s="44" t="str">
        <x:f>IF(OR(U7="",S7=""),"",U7-S7)</x:f>
      </x:c>
      <x:c r="W7" s="45" t="n">
        <x:f>IF(COUNTIFS('Observations'!$A$6:$A$500,$B7,'Observations'!$F$6:$F$500,"&lt;="&amp;10)=0,"",SUMIFS('Observations'!$G$6:$G$500,'Observations'!$A$6:$A$500,$B7,'Observations'!$F$6:$F$500,MAXIFS('Observations'!$F$6:$F$500,'Observations'!$A$6:$A$500,$B7,'Observations'!$F$6:$F$500,"&lt;="&amp;10)))</x:f>
        <x:v>0.005740944545454546</x:v>
      </x:c>
      <x:c r="X7" s="45" t="str">
        <x:f>IF(OR(W7="",U7=""),"",W7-U7)</x:f>
      </x:c>
      <x:c r="Y7" s="45" t="n">
        <x:f>IF(COUNTIFS('Observations'!$A$6:$A$500,$B7,'Observations'!$F$6:$F$500,"&lt;="&amp;11)=0,"",SUMIFS('Observations'!$G$6:$G$500,'Observations'!$A$6:$A$500,$B7,'Observations'!$F$6:$F$500,MAXIFS('Observations'!$F$6:$F$500,'Observations'!$A$6:$A$500,$B7,'Observations'!$F$6:$F$500,"&lt;="&amp;11)))</x:f>
        <x:v>0.010067435</x:v>
      </x:c>
      <x:c r="Z7" s="45" t="n">
        <x:f>IF(OR(Y7="",W7=""),"",Y7-W7)</x:f>
        <x:v>0.004326490454545454</x:v>
      </x:c>
      <x:c r="AA7" s="46" t="n">
        <x:f>IF('Model'!$D7=0,"",1-POWER(2,-MAX('Model'!$M7,'Model'!$M7+'Model'!$N7*(12-'Methodology'!$B$8)+0.5*'Model'!$P7*POWER(12-'Methodology'!$B$8,2))))</x:f>
        <x:v>0.014375098852413282</x:v>
      </x:c>
      <x:c r="AB7" s="46" t="n">
        <x:f>IF(OR(AA7="",Y7=""),"",AA7-Y7)</x:f>
        <x:v>0.004307663852413282</x:v>
      </x:c>
      <x:c r="AC7" s="46" t="n">
        <x:f>IF('Model'!$D7=0,"",1-POWER(2,-MAX('Model'!$M7,'Model'!$M7+'Model'!$N7*(13-'Methodology'!$B$8)+0.5*'Model'!$P7*POWER(13-'Methodology'!$B$8,2))))</x:f>
        <x:v>0.018664018026126716</x:v>
      </x:c>
      <x:c r="AD7" s="46" t="n">
        <x:f>IF(OR(AC7="",AA7=""),"",AC7-AA7)</x:f>
        <x:v>0.004288919173713435</x:v>
      </x:c>
      <x:c r="AE7" s="46" t="n">
        <x:f>IF('Model'!$D7=0,"",1-POWER(2,-MAX('Model'!$M7,'Model'!$M7+'Model'!$N7*(14-'Methodology'!$B$8)+0.5*'Model'!$P7*POWER(14-'Methodology'!$B$8,2))))</x:f>
        <x:v>0.022934274088085127</x:v>
      </x:c>
      <x:c r="AF7" s="46" t="n">
        <x:f>IF(OR(AE7="",AC7=""),"",AE7-AC7)</x:f>
        <x:v>0.004270256061958411</x:v>
      </x:c>
      <x:c r="AG7" s="46" t="n">
        <x:f>IF('Model'!$D7=0,"",1-POWER(2,-MAX('Model'!$M7,'Model'!$M7+'Model'!$N7*(15-'Methodology'!$B$8)+0.5*'Model'!$P7*POWER(15-'Methodology'!$B$8,2))))</x:f>
        <x:v>0.027185948250297076</x:v>
      </x:c>
      <x:c r="AH7" s="46" t="n">
        <x:f>IF(OR(AG7="",AE7=""),"",AG7-AE7)</x:f>
        <x:v>0.004251674162211949</x:v>
      </x:c>
      <x:c r="AI7" s="46" t="n">
        <x:f>IF('Model'!$D7=0,"",1-POWER(2,-MAX('Model'!$M7,'Model'!$M7+'Model'!$N7*(16-'Methodology'!$B$8)+0.5*'Model'!$P7*POWER(16-'Methodology'!$B$8,2))))</x:f>
        <x:v>0.031419121371379255</x:v>
      </x:c>
      <x:c r="AJ7" s="46" t="n">
        <x:f>IF(OR(AI7="",AG7=""),"",AI7-AG7)</x:f>
        <x:v>0.004233173121082179</x:v>
      </x:c>
      <x:c r="AK7" s="46" t="n">
        <x:f>IF('Model'!$D7=0,"",1-POWER(2,-MAX('Model'!$M7,'Model'!$M7+'Model'!$N7*(17-'Methodology'!$B$8)+0.5*'Model'!$P7*POWER(17-'Methodology'!$B$8,2))))</x:f>
        <x:v>0.03563387395809425</x:v>
      </x:c>
      <x:c r="AL7" s="46" t="n">
        <x:f>IF(OR(AK7="",AI7=""),"",AK7-AI7)</x:f>
        <x:v>0.004214752586714998</x:v>
      </x:c>
      <x:c r="AM7" s="46" t="n">
        <x:f>IF('Model'!$D7=0,"",1-POWER(2,-MAX('Model'!$M7,'Model'!$M7+'Model'!$N7*(18-'Methodology'!$B$8)+0.5*'Model'!$P7*POWER(18-'Methodology'!$B$8,2))))</x:f>
        <x:v>0.039830286166882</x:v>
      </x:c>
      <x:c r="AN7" s="46" t="n">
        <x:f>IF(OR(AM7="",AK7=""),"",AM7-AK7)</x:f>
        <x:v>0.004196412208787748</x:v>
      </x:c>
      <x:c r="AO7" s="46" t="n">
        <x:f>IF('Model'!$D7=0,"",1-POWER(2,-MAX('Model'!$M7,'Model'!$M7+'Model'!$N7*(19-'Methodology'!$B$8)+0.5*'Model'!$P7*POWER(19-'Methodology'!$B$8,2))))</x:f>
        <x:v>0.04400843780538366</x:v>
      </x:c>
      <x:c r="AP7" s="46" t="n">
        <x:f>IF(OR(AO7="",AM7=""),"",AO7-AM7)</x:f>
        <x:v>0.004178151638501659</x:v>
      </x:c>
      <x:c r="AQ7" s="46" t="n">
        <x:f>IF('Model'!$D7=0,"",1-POWER(2,-MAX('Model'!$M7,'Model'!$M7+'Model'!$N7*(20-'Methodology'!$B$8)+0.5*'Model'!$P7*POWER(20-'Methodology'!$B$8,2))))</x:f>
        <x:v>0.048168408333959856</x:v>
      </x:c>
      <x:c r="AR7" s="46" t="n">
        <x:f>IF(OR(AQ7="",AO7=""),"",AQ7-AO7)</x:f>
        <x:v>0.004159970528576196</x:v>
      </x:c>
      <x:c r="AS7" s="24" t="n">
        <x:f>IF('Model'!$D7=0,"",Y7)</x:f>
        <x:v>0.010067435</x:v>
      </x:c>
      <x:c r="AT7" s="17" t="str">
        <x:f>'Model'!S7</x:f>
        <x:v>F</x:v>
      </x:c>
      <x:c r="AU7" s="26" t="n">
        <x:f>IF('Model'!$D7=0,"",'Model'!T7)</x:f>
        <x:v>0</x:v>
      </x:c>
      <x:c r="AV7" s="26" t="n">
        <x:f>IFERROR((AVERAGEIF($A$6:$A$28,"Direct economic stewardship",$AU$6:$AU$28)*'Summary'!$K$13+AVERAGEIF($A$6:$A$28,"Operational execution",$AU$6:$AU$28)*'Summary'!$K$14+AVERAGEIF($A$6:$A$28,"Personal stewardship transfer",$AU$6:$AU$28)*'Summary'!$K$15+AVERAGEIF($A$6:$A$28,"Economic value &amp; governance",$AU$6:$AU$28)*'Summary'!$K$16)/SUM('Summary'!$K$13:$K$16),"")</x:f>
        <x:v>0.6336477987421384</x:v>
      </x:c>
      <x:c r="AW7" s="25" t="n">
        <x:f>'Model'!N7</x:f>
        <x:v>0.006291545787330755</x:v>
      </x:c>
      <x:c r="AX7" s="25" t="n">
        <x:f>'Model'!P7</x:f>
        <x:v>0</x:v>
      </x:c>
      <x:c r="AY7" s="17" t="str">
        <x:f>'Model'!Q7</x:f>
        <x:v>Constant velocity — two observations</x:v>
      </x:c>
    </x:row>
    <x:row r="8" ht="46" hidden="0" customHeight="1">
      <x:c r="A8" s="17" t="str">
        <x:v>Direct economic stewardship</x:v>
      </x:c>
      <x:c r="B8" s="17" t="str">
        <x:v>DES-03</x:v>
      </x:c>
      <x:c r="C8" s="17" t="str">
        <x:v>YC-Bench</x:v>
      </x:c>
      <x:c r="D8" s="17" t="str">
        <x:v>Frontier mean final funds / $1M published substantial-profit threshold</x:v>
      </x:c>
      <x:c r="E8" s="44" t="str">
        <x:f>IF(COUNTIFS('Observations'!$A$6:$A$500,$B8,'Observations'!$F$6:$F$500,"&lt;="&amp;1)=0,"",SUMIFS('Observations'!$G$6:$G$500,'Observations'!$A$6:$A$500,$B8,'Observations'!$F$6:$F$500,MAXIFS('Observations'!$F$6:$F$500,'Observations'!$A$6:$A$500,$B8,'Observations'!$F$6:$F$500,"&lt;="&amp;1)))</x:f>
      </x:c>
      <x:c r="F8" s="44" t="str">
        <x:f>""</x:f>
      </x:c>
      <x:c r="G8" s="44" t="str">
        <x:f>IF(COUNTIFS('Observations'!$A$6:$A$500,$B8,'Observations'!$F$6:$F$500,"&lt;="&amp;2)=0,"",SUMIFS('Observations'!$G$6:$G$500,'Observations'!$A$6:$A$500,$B8,'Observations'!$F$6:$F$500,MAXIFS('Observations'!$F$6:$F$500,'Observations'!$A$6:$A$500,$B8,'Observations'!$F$6:$F$500,"&lt;="&amp;2)))</x:f>
      </x:c>
      <x:c r="H8" s="44" t="str">
        <x:f>IF(OR(G8="",E8=""),"",G8-E8)</x:f>
      </x:c>
      <x:c r="I8" s="44" t="str">
        <x:f>IF(COUNTIFS('Observations'!$A$6:$A$500,$B8,'Observations'!$F$6:$F$500,"&lt;="&amp;3)=0,"",SUMIFS('Observations'!$G$6:$G$500,'Observations'!$A$6:$A$500,$B8,'Observations'!$F$6:$F$500,MAXIFS('Observations'!$F$6:$F$500,'Observations'!$A$6:$A$500,$B8,'Observations'!$F$6:$F$500,"&lt;="&amp;3)))</x:f>
      </x:c>
      <x:c r="J8" s="44" t="str">
        <x:f>IF(OR(I8="",G8=""),"",I8-G8)</x:f>
      </x:c>
      <x:c r="K8" s="44" t="str">
        <x:f>IF(COUNTIFS('Observations'!$A$6:$A$500,$B8,'Observations'!$F$6:$F$500,"&lt;="&amp;4)=0,"",SUMIFS('Observations'!$G$6:$G$500,'Observations'!$A$6:$A$500,$B8,'Observations'!$F$6:$F$500,MAXIFS('Observations'!$F$6:$F$500,'Observations'!$A$6:$A$500,$B8,'Observations'!$F$6:$F$500,"&lt;="&amp;4)))</x:f>
      </x:c>
      <x:c r="L8" s="44" t="str">
        <x:f>IF(OR(K8="",I8=""),"",K8-I8)</x:f>
      </x:c>
      <x:c r="M8" s="44" t="str">
        <x:f>IF(COUNTIFS('Observations'!$A$6:$A$500,$B8,'Observations'!$F$6:$F$500,"&lt;="&amp;5)=0,"",SUMIFS('Observations'!$G$6:$G$500,'Observations'!$A$6:$A$500,$B8,'Observations'!$F$6:$F$500,MAXIFS('Observations'!$F$6:$F$500,'Observations'!$A$6:$A$500,$B8,'Observations'!$F$6:$F$500,"&lt;="&amp;5)))</x:f>
      </x:c>
      <x:c r="N8" s="44" t="str">
        <x:f>IF(OR(M8="",K8=""),"",M8-K8)</x:f>
      </x:c>
      <x:c r="O8" s="44" t="str">
        <x:f>IF(COUNTIFS('Observations'!$A$6:$A$500,$B8,'Observations'!$F$6:$F$500,"&lt;="&amp;6)=0,"",SUMIFS('Observations'!$G$6:$G$500,'Observations'!$A$6:$A$500,$B8,'Observations'!$F$6:$F$500,MAXIFS('Observations'!$F$6:$F$500,'Observations'!$A$6:$A$500,$B8,'Observations'!$F$6:$F$500,"&lt;="&amp;6)))</x:f>
      </x:c>
      <x:c r="P8" s="44" t="str">
        <x:f>IF(OR(O8="",M8=""),"",O8-M8)</x:f>
      </x:c>
      <x:c r="Q8" s="44" t="str">
        <x:f>IF(COUNTIFS('Observations'!$A$6:$A$500,$B8,'Observations'!$F$6:$F$500,"&lt;="&amp;7)=0,"",SUMIFS('Observations'!$G$6:$G$500,'Observations'!$A$6:$A$500,$B8,'Observations'!$F$6:$F$500,MAXIFS('Observations'!$F$6:$F$500,'Observations'!$A$6:$A$500,$B8,'Observations'!$F$6:$F$500,"&lt;="&amp;7)))</x:f>
      </x:c>
      <x:c r="R8" s="44" t="str">
        <x:f>IF(OR(Q8="",O8=""),"",Q8-O8)</x:f>
      </x:c>
      <x:c r="S8" s="44" t="str">
        <x:f>IF(COUNTIFS('Observations'!$A$6:$A$500,$B8,'Observations'!$F$6:$F$500,"&lt;="&amp;8)=0,"",SUMIFS('Observations'!$G$6:$G$500,'Observations'!$A$6:$A$500,$B8,'Observations'!$F$6:$F$500,MAXIFS('Observations'!$F$6:$F$500,'Observations'!$A$6:$A$500,$B8,'Observations'!$F$6:$F$500,"&lt;="&amp;8)))</x:f>
      </x:c>
      <x:c r="T8" s="44" t="str">
        <x:f>IF(OR(S8="",Q8=""),"",S8-Q8)</x:f>
      </x:c>
      <x:c r="U8" s="44" t="str">
        <x:f>IF(COUNTIFS('Observations'!$A$6:$A$500,$B8,'Observations'!$F$6:$F$500,"&lt;="&amp;9)=0,"",SUMIFS('Observations'!$G$6:$G$500,'Observations'!$A$6:$A$500,$B8,'Observations'!$F$6:$F$500,MAXIFS('Observations'!$F$6:$F$500,'Observations'!$A$6:$A$500,$B8,'Observations'!$F$6:$F$500,"&lt;="&amp;9)))</x:f>
      </x:c>
      <x:c r="V8" s="44" t="str">
        <x:f>IF(OR(U8="",S8=""),"",U8-S8)</x:f>
      </x:c>
      <x:c r="W8" s="45" t="n">
        <x:f>IF(COUNTIFS('Observations'!$A$6:$A$500,$B8,'Observations'!$F$6:$F$500,"&lt;="&amp;10)=0,"",SUMIFS('Observations'!$G$6:$G$500,'Observations'!$A$6:$A$500,$B8,'Observations'!$F$6:$F$500,MAXIFS('Observations'!$F$6:$F$500,'Observations'!$A$6:$A$500,$B8,'Observations'!$F$6:$F$500,"&lt;="&amp;10)))</x:f>
        <x:v>1</x:v>
      </x:c>
      <x:c r="X8" s="45" t="str">
        <x:f>IF(OR(W8="",U8=""),"",W8-U8)</x:f>
      </x:c>
      <x:c r="Y8" s="44" t="n">
        <x:f>IF(COUNTIFS('Observations'!$A$6:$A$500,$B8,'Observations'!$F$6:$F$500,"&lt;="&amp;11)=0,"",SUMIFS('Observations'!$G$6:$G$500,'Observations'!$A$6:$A$500,$B8,'Observations'!$F$6:$F$500,MAXIFS('Observations'!$F$6:$F$500,'Observations'!$A$6:$A$500,$B8,'Observations'!$F$6:$F$500,"&lt;="&amp;11)))</x:f>
        <x:v>1</x:v>
      </x:c>
      <x:c r="Z8" s="44" t="n">
        <x:f>IF(OR(Y8="",W8=""),"",Y8-W8)</x:f>
        <x:v>0</x:v>
      </x:c>
      <x:c r="AA8" s="46" t="n">
        <x:f>IF('Model'!$D8=0,"",1-POWER(2,-MAX('Model'!$M8,'Model'!$M8+'Model'!$N8*(12-'Methodology'!$B$8)+0.5*'Model'!$P8*POWER(12-'Methodology'!$B$8,2))))</x:f>
        <x:v>0.9999999990686774</x:v>
      </x:c>
      <x:c r="AB8" s="46" t="n">
        <x:f>IF(OR(AA8="",Y8=""),"",AA8-Y8)</x:f>
        <x:v>-9.313225746154785e-10</x:v>
      </x:c>
      <x:c r="AC8" s="46" t="n">
        <x:f>IF('Model'!$D8=0,"",1-POWER(2,-MAX('Model'!$M8,'Model'!$M8+'Model'!$N8*(13-'Methodology'!$B$8)+0.5*'Model'!$P8*POWER(13-'Methodology'!$B$8,2))))</x:f>
        <x:v>0.9999999990686774</x:v>
      </x:c>
      <x:c r="AD8" s="46" t="n">
        <x:f>IF(OR(AC8="",AA8=""),"",AC8-AA8)</x:f>
        <x:v>0</x:v>
      </x:c>
      <x:c r="AE8" s="46" t="n">
        <x:f>IF('Model'!$D8=0,"",1-POWER(2,-MAX('Model'!$M8,'Model'!$M8+'Model'!$N8*(14-'Methodology'!$B$8)+0.5*'Model'!$P8*POWER(14-'Methodology'!$B$8,2))))</x:f>
        <x:v>0.9999999990686774</x:v>
      </x:c>
      <x:c r="AF8" s="46" t="n">
        <x:f>IF(OR(AE8="",AC8=""),"",AE8-AC8)</x:f>
        <x:v>0</x:v>
      </x:c>
      <x:c r="AG8" s="46" t="n">
        <x:f>IF('Model'!$D8=0,"",1-POWER(2,-MAX('Model'!$M8,'Model'!$M8+'Model'!$N8*(15-'Methodology'!$B$8)+0.5*'Model'!$P8*POWER(15-'Methodology'!$B$8,2))))</x:f>
        <x:v>0.9999999990686774</x:v>
      </x:c>
      <x:c r="AH8" s="46" t="n">
        <x:f>IF(OR(AG8="",AE8=""),"",AG8-AE8)</x:f>
        <x:v>0</x:v>
      </x:c>
      <x:c r="AI8" s="46" t="n">
        <x:f>IF('Model'!$D8=0,"",1-POWER(2,-MAX('Model'!$M8,'Model'!$M8+'Model'!$N8*(16-'Methodology'!$B$8)+0.5*'Model'!$P8*POWER(16-'Methodology'!$B$8,2))))</x:f>
        <x:v>0.9999999990686774</x:v>
      </x:c>
      <x:c r="AJ8" s="46" t="n">
        <x:f>IF(OR(AI8="",AG8=""),"",AI8-AG8)</x:f>
        <x:v>0</x:v>
      </x:c>
      <x:c r="AK8" s="46" t="n">
        <x:f>IF('Model'!$D8=0,"",1-POWER(2,-MAX('Model'!$M8,'Model'!$M8+'Model'!$N8*(17-'Methodology'!$B$8)+0.5*'Model'!$P8*POWER(17-'Methodology'!$B$8,2))))</x:f>
        <x:v>0.9999999990686774</x:v>
      </x:c>
      <x:c r="AL8" s="46" t="n">
        <x:f>IF(OR(AK8="",AI8=""),"",AK8-AI8)</x:f>
        <x:v>0</x:v>
      </x:c>
      <x:c r="AM8" s="46" t="n">
        <x:f>IF('Model'!$D8=0,"",1-POWER(2,-MAX('Model'!$M8,'Model'!$M8+'Model'!$N8*(18-'Methodology'!$B$8)+0.5*'Model'!$P8*POWER(18-'Methodology'!$B$8,2))))</x:f>
        <x:v>0.9999999990686774</x:v>
      </x:c>
      <x:c r="AN8" s="46" t="n">
        <x:f>IF(OR(AM8="",AK8=""),"",AM8-AK8)</x:f>
        <x:v>0</x:v>
      </x:c>
      <x:c r="AO8" s="46" t="n">
        <x:f>IF('Model'!$D8=0,"",1-POWER(2,-MAX('Model'!$M8,'Model'!$M8+'Model'!$N8*(19-'Methodology'!$B$8)+0.5*'Model'!$P8*POWER(19-'Methodology'!$B$8,2))))</x:f>
        <x:v>0.9999999990686774</x:v>
      </x:c>
      <x:c r="AP8" s="46" t="n">
        <x:f>IF(OR(AO8="",AM8=""),"",AO8-AM8)</x:f>
        <x:v>0</x:v>
      </x:c>
      <x:c r="AQ8" s="46" t="n">
        <x:f>IF('Model'!$D8=0,"",1-POWER(2,-MAX('Model'!$M8,'Model'!$M8+'Model'!$N8*(20-'Methodology'!$B$8)+0.5*'Model'!$P8*POWER(20-'Methodology'!$B$8,2))))</x:f>
        <x:v>0.9999999990686774</x:v>
      </x:c>
      <x:c r="AR8" s="46" t="n">
        <x:f>IF(OR(AQ8="",AO8=""),"",AQ8-AO8)</x:f>
        <x:v>0</x:v>
      </x:c>
      <x:c r="AS8" s="24" t="n">
        <x:f>IF('Model'!$D8=0,"",Y8)</x:f>
        <x:v>1</x:v>
      </x:c>
      <x:c r="AT8" s="17" t="str">
        <x:f>'Model'!S8</x:f>
        <x:v>A</x:v>
      </x:c>
      <x:c r="AU8" s="26" t="n">
        <x:f>IF('Model'!$D8=0,"",'Model'!T8)</x:f>
        <x:v>4</x:v>
      </x:c>
      <x:c r="AV8" s="26" t="n">
        <x:f>IFERROR((AVERAGEIF($A$6:$A$28,"Direct economic stewardship",$AU$6:$AU$28)*'Summary'!$K$13+AVERAGEIF($A$6:$A$28,"Operational execution",$AU$6:$AU$28)*'Summary'!$K$14+AVERAGEIF($A$6:$A$28,"Personal stewardship transfer",$AU$6:$AU$28)*'Summary'!$K$15+AVERAGEIF($A$6:$A$28,"Economic value &amp; governance",$AU$6:$AU$28)*'Summary'!$K$16)/SUM('Summary'!$K$13:$K$16),"")</x:f>
        <x:v>0.6336477987421384</x:v>
      </x:c>
      <x:c r="AW8" s="25" t="n">
        <x:f>'Model'!N8</x:f>
        <x:v>0</x:v>
      </x:c>
      <x:c r="AX8" s="25" t="n">
        <x:f>'Model'!P8</x:f>
        <x:v>0</x:v>
      </x:c>
      <x:c r="AY8" s="17" t="str">
        <x:f>'Model'!Q8</x:f>
        <x:v>Flat — one observation</x:v>
      </x:c>
    </x:row>
    <x:row r="9" ht="46" hidden="0" customHeight="1">
      <x:c r="A9" s="17" t="str">
        <x:v>Direct economic stewardship</x:v>
      </x:c>
      <x:c r="B9" s="17" t="str">
        <x:v>DES-04</x:v>
      </x:c>
      <x:c r="C9" s="17" t="str">
        <x:v>Business Arena</x:v>
      </x:c>
      <x:c r="D9" s="17" t="str">
        <x:v>Best-model mean final worth / $436,195 expert-strategy final worth</x:v>
      </x:c>
      <x:c r="E9" s="44" t="str">
        <x:f>IF(COUNTIFS('Observations'!$A$6:$A$500,$B9,'Observations'!$F$6:$F$500,"&lt;="&amp;1)=0,"",SUMIFS('Observations'!$G$6:$G$500,'Observations'!$A$6:$A$500,$B9,'Observations'!$F$6:$F$500,MAXIFS('Observations'!$F$6:$F$500,'Observations'!$A$6:$A$500,$B9,'Observations'!$F$6:$F$500,"&lt;="&amp;1)))</x:f>
      </x:c>
      <x:c r="F9" s="44" t="str">
        <x:f>""</x:f>
      </x:c>
      <x:c r="G9" s="44" t="str">
        <x:f>IF(COUNTIFS('Observations'!$A$6:$A$500,$B9,'Observations'!$F$6:$F$500,"&lt;="&amp;2)=0,"",SUMIFS('Observations'!$G$6:$G$500,'Observations'!$A$6:$A$500,$B9,'Observations'!$F$6:$F$500,MAXIFS('Observations'!$F$6:$F$500,'Observations'!$A$6:$A$500,$B9,'Observations'!$F$6:$F$500,"&lt;="&amp;2)))</x:f>
      </x:c>
      <x:c r="H9" s="44" t="str">
        <x:f>IF(OR(G9="",E9=""),"",G9-E9)</x:f>
      </x:c>
      <x:c r="I9" s="44" t="str">
        <x:f>IF(COUNTIFS('Observations'!$A$6:$A$500,$B9,'Observations'!$F$6:$F$500,"&lt;="&amp;3)=0,"",SUMIFS('Observations'!$G$6:$G$500,'Observations'!$A$6:$A$500,$B9,'Observations'!$F$6:$F$500,MAXIFS('Observations'!$F$6:$F$500,'Observations'!$A$6:$A$500,$B9,'Observations'!$F$6:$F$500,"&lt;="&amp;3)))</x:f>
      </x:c>
      <x:c r="J9" s="44" t="str">
        <x:f>IF(OR(I9="",G9=""),"",I9-G9)</x:f>
      </x:c>
      <x:c r="K9" s="44" t="str">
        <x:f>IF(COUNTIFS('Observations'!$A$6:$A$500,$B9,'Observations'!$F$6:$F$500,"&lt;="&amp;4)=0,"",SUMIFS('Observations'!$G$6:$G$500,'Observations'!$A$6:$A$500,$B9,'Observations'!$F$6:$F$500,MAXIFS('Observations'!$F$6:$F$500,'Observations'!$A$6:$A$500,$B9,'Observations'!$F$6:$F$500,"&lt;="&amp;4)))</x:f>
      </x:c>
      <x:c r="L9" s="44" t="str">
        <x:f>IF(OR(K9="",I9=""),"",K9-I9)</x:f>
      </x:c>
      <x:c r="M9" s="44" t="str">
        <x:f>IF(COUNTIFS('Observations'!$A$6:$A$500,$B9,'Observations'!$F$6:$F$500,"&lt;="&amp;5)=0,"",SUMIFS('Observations'!$G$6:$G$500,'Observations'!$A$6:$A$500,$B9,'Observations'!$F$6:$F$500,MAXIFS('Observations'!$F$6:$F$500,'Observations'!$A$6:$A$500,$B9,'Observations'!$F$6:$F$500,"&lt;="&amp;5)))</x:f>
      </x:c>
      <x:c r="N9" s="44" t="str">
        <x:f>IF(OR(M9="",K9=""),"",M9-K9)</x:f>
      </x:c>
      <x:c r="O9" s="44" t="str">
        <x:f>IF(COUNTIFS('Observations'!$A$6:$A$500,$B9,'Observations'!$F$6:$F$500,"&lt;="&amp;6)=0,"",SUMIFS('Observations'!$G$6:$G$500,'Observations'!$A$6:$A$500,$B9,'Observations'!$F$6:$F$500,MAXIFS('Observations'!$F$6:$F$500,'Observations'!$A$6:$A$500,$B9,'Observations'!$F$6:$F$500,"&lt;="&amp;6)))</x:f>
      </x:c>
      <x:c r="P9" s="44" t="str">
        <x:f>IF(OR(O9="",M9=""),"",O9-M9)</x:f>
      </x:c>
      <x:c r="Q9" s="44" t="str">
        <x:f>IF(COUNTIFS('Observations'!$A$6:$A$500,$B9,'Observations'!$F$6:$F$500,"&lt;="&amp;7)=0,"",SUMIFS('Observations'!$G$6:$G$500,'Observations'!$A$6:$A$500,$B9,'Observations'!$F$6:$F$500,MAXIFS('Observations'!$F$6:$F$500,'Observations'!$A$6:$A$500,$B9,'Observations'!$F$6:$F$500,"&lt;="&amp;7)))</x:f>
      </x:c>
      <x:c r="R9" s="44" t="str">
        <x:f>IF(OR(Q9="",O9=""),"",Q9-O9)</x:f>
      </x:c>
      <x:c r="S9" s="44" t="str">
        <x:f>IF(COUNTIFS('Observations'!$A$6:$A$500,$B9,'Observations'!$F$6:$F$500,"&lt;="&amp;8)=0,"",SUMIFS('Observations'!$G$6:$G$500,'Observations'!$A$6:$A$500,$B9,'Observations'!$F$6:$F$500,MAXIFS('Observations'!$F$6:$F$500,'Observations'!$A$6:$A$500,$B9,'Observations'!$F$6:$F$500,"&lt;="&amp;8)))</x:f>
      </x:c>
      <x:c r="T9" s="44" t="str">
        <x:f>IF(OR(S9="",Q9=""),"",S9-Q9)</x:f>
      </x:c>
      <x:c r="U9" s="44" t="str">
        <x:f>IF(COUNTIFS('Observations'!$A$6:$A$500,$B9,'Observations'!$F$6:$F$500,"&lt;="&amp;9)=0,"",SUMIFS('Observations'!$G$6:$G$500,'Observations'!$A$6:$A$500,$B9,'Observations'!$F$6:$F$500,MAXIFS('Observations'!$F$6:$F$500,'Observations'!$A$6:$A$500,$B9,'Observations'!$F$6:$F$500,"&lt;="&amp;9)))</x:f>
      </x:c>
      <x:c r="V9" s="44" t="str">
        <x:f>IF(OR(U9="",S9=""),"",U9-S9)</x:f>
      </x:c>
      <x:c r="W9" s="44" t="str">
        <x:f>IF(COUNTIFS('Observations'!$A$6:$A$500,$B9,'Observations'!$F$6:$F$500,"&lt;="&amp;10)=0,"",SUMIFS('Observations'!$G$6:$G$500,'Observations'!$A$6:$A$500,$B9,'Observations'!$F$6:$F$500,MAXIFS('Observations'!$F$6:$F$500,'Observations'!$A$6:$A$500,$B9,'Observations'!$F$6:$F$500,"&lt;="&amp;10)))</x:f>
      </x:c>
      <x:c r="X9" s="44" t="str">
        <x:f>IF(OR(W9="",U9=""),"",W9-U9)</x:f>
      </x:c>
      <x:c r="Y9" s="45" t="n">
        <x:f>IF(COUNTIFS('Observations'!$A$6:$A$500,$B9,'Observations'!$F$6:$F$500,"&lt;="&amp;11)=0,"",SUMIFS('Observations'!$G$6:$G$500,'Observations'!$A$6:$A$500,$B9,'Observations'!$F$6:$F$500,MAXIFS('Observations'!$F$6:$F$500,'Observations'!$A$6:$A$500,$B9,'Observations'!$F$6:$F$500,"&lt;="&amp;11)))</x:f>
        <x:v>0.4321186625247882</x:v>
      </x:c>
      <x:c r="Z9" s="45" t="str">
        <x:f>IF(OR(Y9="",W9=""),"",Y9-W9)</x:f>
      </x:c>
      <x:c r="AA9" s="46" t="n">
        <x:f>IF('Model'!$D9=0,"",1-POWER(2,-MAX('Model'!$M9,'Model'!$M9+'Model'!$N9*(12-'Methodology'!$B$8)+0.5*'Model'!$P9*POWER(12-'Methodology'!$B$8,2))))</x:f>
        <x:v>0.43211866252478814</x:v>
      </x:c>
      <x:c r="AB9" s="46" t="n">
        <x:f>IF(OR(AA9="",Y9=""),"",AA9-Y9)</x:f>
        <x:v>-5.551115123125783e-17</x:v>
      </x:c>
      <x:c r="AC9" s="46" t="n">
        <x:f>IF('Model'!$D9=0,"",1-POWER(2,-MAX('Model'!$M9,'Model'!$M9+'Model'!$N9*(13-'Methodology'!$B$8)+0.5*'Model'!$P9*POWER(13-'Methodology'!$B$8,2))))</x:f>
        <x:v>0.43211866252478814</x:v>
      </x:c>
      <x:c r="AD9" s="46" t="n">
        <x:f>IF(OR(AC9="",AA9=""),"",AC9-AA9)</x:f>
        <x:v>0</x:v>
      </x:c>
      <x:c r="AE9" s="46" t="n">
        <x:f>IF('Model'!$D9=0,"",1-POWER(2,-MAX('Model'!$M9,'Model'!$M9+'Model'!$N9*(14-'Methodology'!$B$8)+0.5*'Model'!$P9*POWER(14-'Methodology'!$B$8,2))))</x:f>
        <x:v>0.43211866252478814</x:v>
      </x:c>
      <x:c r="AF9" s="46" t="n">
        <x:f>IF(OR(AE9="",AC9=""),"",AE9-AC9)</x:f>
        <x:v>0</x:v>
      </x:c>
      <x:c r="AG9" s="46" t="n">
        <x:f>IF('Model'!$D9=0,"",1-POWER(2,-MAX('Model'!$M9,'Model'!$M9+'Model'!$N9*(15-'Methodology'!$B$8)+0.5*'Model'!$P9*POWER(15-'Methodology'!$B$8,2))))</x:f>
        <x:v>0.43211866252478814</x:v>
      </x:c>
      <x:c r="AH9" s="46" t="n">
        <x:f>IF(OR(AG9="",AE9=""),"",AG9-AE9)</x:f>
        <x:v>0</x:v>
      </x:c>
      <x:c r="AI9" s="46" t="n">
        <x:f>IF('Model'!$D9=0,"",1-POWER(2,-MAX('Model'!$M9,'Model'!$M9+'Model'!$N9*(16-'Methodology'!$B$8)+0.5*'Model'!$P9*POWER(16-'Methodology'!$B$8,2))))</x:f>
        <x:v>0.43211866252478814</x:v>
      </x:c>
      <x:c r="AJ9" s="46" t="n">
        <x:f>IF(OR(AI9="",AG9=""),"",AI9-AG9)</x:f>
        <x:v>0</x:v>
      </x:c>
      <x:c r="AK9" s="46" t="n">
        <x:f>IF('Model'!$D9=0,"",1-POWER(2,-MAX('Model'!$M9,'Model'!$M9+'Model'!$N9*(17-'Methodology'!$B$8)+0.5*'Model'!$P9*POWER(17-'Methodology'!$B$8,2))))</x:f>
        <x:v>0.43211866252478814</x:v>
      </x:c>
      <x:c r="AL9" s="46" t="n">
        <x:f>IF(OR(AK9="",AI9=""),"",AK9-AI9)</x:f>
        <x:v>0</x:v>
      </x:c>
      <x:c r="AM9" s="46" t="n">
        <x:f>IF('Model'!$D9=0,"",1-POWER(2,-MAX('Model'!$M9,'Model'!$M9+'Model'!$N9*(18-'Methodology'!$B$8)+0.5*'Model'!$P9*POWER(18-'Methodology'!$B$8,2))))</x:f>
        <x:v>0.43211866252478814</x:v>
      </x:c>
      <x:c r="AN9" s="46" t="n">
        <x:f>IF(OR(AM9="",AK9=""),"",AM9-AK9)</x:f>
        <x:v>0</x:v>
      </x:c>
      <x:c r="AO9" s="46" t="n">
        <x:f>IF('Model'!$D9=0,"",1-POWER(2,-MAX('Model'!$M9,'Model'!$M9+'Model'!$N9*(19-'Methodology'!$B$8)+0.5*'Model'!$P9*POWER(19-'Methodology'!$B$8,2))))</x:f>
        <x:v>0.43211866252478814</x:v>
      </x:c>
      <x:c r="AP9" s="46" t="n">
        <x:f>IF(OR(AO9="",AM9=""),"",AO9-AM9)</x:f>
        <x:v>0</x:v>
      </x:c>
      <x:c r="AQ9" s="46" t="n">
        <x:f>IF('Model'!$D9=0,"",1-POWER(2,-MAX('Model'!$M9,'Model'!$M9+'Model'!$N9*(20-'Methodology'!$B$8)+0.5*'Model'!$P9*POWER(20-'Methodology'!$B$8,2))))</x:f>
        <x:v>0.43211866252478814</x:v>
      </x:c>
      <x:c r="AR9" s="46" t="n">
        <x:f>IF(OR(AQ9="",AO9=""),"",AQ9-AO9)</x:f>
        <x:v>0</x:v>
      </x:c>
      <x:c r="AS9" s="24" t="n">
        <x:f>IF('Model'!$D9=0,"",Y9)</x:f>
        <x:v>0.4321186625247882</x:v>
      </x:c>
      <x:c r="AT9" s="17" t="str">
        <x:f>'Model'!S9</x:f>
        <x:v>F</x:v>
      </x:c>
      <x:c r="AU9" s="26" t="n">
        <x:f>IF('Model'!$D9=0,"",'Model'!T9)</x:f>
        <x:v>0</x:v>
      </x:c>
      <x:c r="AV9" s="26" t="n">
        <x:f>IFERROR((AVERAGEIF($A$6:$A$28,"Direct economic stewardship",$AU$6:$AU$28)*'Summary'!$K$13+AVERAGEIF($A$6:$A$28,"Operational execution",$AU$6:$AU$28)*'Summary'!$K$14+AVERAGEIF($A$6:$A$28,"Personal stewardship transfer",$AU$6:$AU$28)*'Summary'!$K$15+AVERAGEIF($A$6:$A$28,"Economic value &amp; governance",$AU$6:$AU$28)*'Summary'!$K$16)/SUM('Summary'!$K$13:$K$16),"")</x:f>
        <x:v>0.6336477987421384</x:v>
      </x:c>
      <x:c r="AW9" s="25" t="n">
        <x:f>'Model'!N9</x:f>
        <x:v>0</x:v>
      </x:c>
      <x:c r="AX9" s="25" t="n">
        <x:f>'Model'!P9</x:f>
        <x:v>0</x:v>
      </x:c>
      <x:c r="AY9" s="17" t="str">
        <x:f>'Model'!Q9</x:f>
        <x:v>Flat — one observation</x:v>
      </x:c>
    </x:row>
    <x:row r="10" ht="46" hidden="0" customHeight="1">
      <x:c r="A10" s="17" t="str">
        <x:v>Direct economic stewardship</x:v>
      </x:c>
      <x:c r="B10" s="17" t="str">
        <x:v>DES-05</x:v>
      </x:c>
      <x:c r="C10" s="17" t="str">
        <x:v>EnterpriseArena</x:v>
      </x:c>
      <x:c r="D10" s="17" t="str">
        <x:v>Best-model full-horizon survival rate</x:v>
      </x:c>
      <x:c r="E10" s="44" t="str">
        <x:f>IF(COUNTIFS('Observations'!$A$6:$A$500,$B10,'Observations'!$F$6:$F$500,"&lt;="&amp;1)=0,"",SUMIFS('Observations'!$G$6:$G$500,'Observations'!$A$6:$A$500,$B10,'Observations'!$F$6:$F$500,MAXIFS('Observations'!$F$6:$F$500,'Observations'!$A$6:$A$500,$B10,'Observations'!$F$6:$F$500,"&lt;="&amp;1)))</x:f>
      </x:c>
      <x:c r="F10" s="44" t="str">
        <x:f>""</x:f>
      </x:c>
      <x:c r="G10" s="44" t="str">
        <x:f>IF(COUNTIFS('Observations'!$A$6:$A$500,$B10,'Observations'!$F$6:$F$500,"&lt;="&amp;2)=0,"",SUMIFS('Observations'!$G$6:$G$500,'Observations'!$A$6:$A$500,$B10,'Observations'!$F$6:$F$500,MAXIFS('Observations'!$F$6:$F$500,'Observations'!$A$6:$A$500,$B10,'Observations'!$F$6:$F$500,"&lt;="&amp;2)))</x:f>
      </x:c>
      <x:c r="H10" s="44" t="str">
        <x:f>IF(OR(G10="",E10=""),"",G10-E10)</x:f>
      </x:c>
      <x:c r="I10" s="44" t="str">
        <x:f>IF(COUNTIFS('Observations'!$A$6:$A$500,$B10,'Observations'!$F$6:$F$500,"&lt;="&amp;3)=0,"",SUMIFS('Observations'!$G$6:$G$500,'Observations'!$A$6:$A$500,$B10,'Observations'!$F$6:$F$500,MAXIFS('Observations'!$F$6:$F$500,'Observations'!$A$6:$A$500,$B10,'Observations'!$F$6:$F$500,"&lt;="&amp;3)))</x:f>
      </x:c>
      <x:c r="J10" s="44" t="str">
        <x:f>IF(OR(I10="",G10=""),"",I10-G10)</x:f>
      </x:c>
      <x:c r="K10" s="44" t="str">
        <x:f>IF(COUNTIFS('Observations'!$A$6:$A$500,$B10,'Observations'!$F$6:$F$500,"&lt;="&amp;4)=0,"",SUMIFS('Observations'!$G$6:$G$500,'Observations'!$A$6:$A$500,$B10,'Observations'!$F$6:$F$500,MAXIFS('Observations'!$F$6:$F$500,'Observations'!$A$6:$A$500,$B10,'Observations'!$F$6:$F$500,"&lt;="&amp;4)))</x:f>
      </x:c>
      <x:c r="L10" s="44" t="str">
        <x:f>IF(OR(K10="",I10=""),"",K10-I10)</x:f>
      </x:c>
      <x:c r="M10" s="44" t="str">
        <x:f>IF(COUNTIFS('Observations'!$A$6:$A$500,$B10,'Observations'!$F$6:$F$500,"&lt;="&amp;5)=0,"",SUMIFS('Observations'!$G$6:$G$500,'Observations'!$A$6:$A$500,$B10,'Observations'!$F$6:$F$500,MAXIFS('Observations'!$F$6:$F$500,'Observations'!$A$6:$A$500,$B10,'Observations'!$F$6:$F$500,"&lt;="&amp;5)))</x:f>
      </x:c>
      <x:c r="N10" s="44" t="str">
        <x:f>IF(OR(M10="",K10=""),"",M10-K10)</x:f>
      </x:c>
      <x:c r="O10" s="44" t="str">
        <x:f>IF(COUNTIFS('Observations'!$A$6:$A$500,$B10,'Observations'!$F$6:$F$500,"&lt;="&amp;6)=0,"",SUMIFS('Observations'!$G$6:$G$500,'Observations'!$A$6:$A$500,$B10,'Observations'!$F$6:$F$500,MAXIFS('Observations'!$F$6:$F$500,'Observations'!$A$6:$A$500,$B10,'Observations'!$F$6:$F$500,"&lt;="&amp;6)))</x:f>
      </x:c>
      <x:c r="P10" s="44" t="str">
        <x:f>IF(OR(O10="",M10=""),"",O10-M10)</x:f>
      </x:c>
      <x:c r="Q10" s="44" t="str">
        <x:f>IF(COUNTIFS('Observations'!$A$6:$A$500,$B10,'Observations'!$F$6:$F$500,"&lt;="&amp;7)=0,"",SUMIFS('Observations'!$G$6:$G$500,'Observations'!$A$6:$A$500,$B10,'Observations'!$F$6:$F$500,MAXIFS('Observations'!$F$6:$F$500,'Observations'!$A$6:$A$500,$B10,'Observations'!$F$6:$F$500,"&lt;="&amp;7)))</x:f>
      </x:c>
      <x:c r="R10" s="44" t="str">
        <x:f>IF(OR(Q10="",O10=""),"",Q10-O10)</x:f>
      </x:c>
      <x:c r="S10" s="44" t="str">
        <x:f>IF(COUNTIFS('Observations'!$A$6:$A$500,$B10,'Observations'!$F$6:$F$500,"&lt;="&amp;8)=0,"",SUMIFS('Observations'!$G$6:$G$500,'Observations'!$A$6:$A$500,$B10,'Observations'!$F$6:$F$500,MAXIFS('Observations'!$F$6:$F$500,'Observations'!$A$6:$A$500,$B10,'Observations'!$F$6:$F$500,"&lt;="&amp;8)))</x:f>
      </x:c>
      <x:c r="T10" s="44" t="str">
        <x:f>IF(OR(S10="",Q10=""),"",S10-Q10)</x:f>
      </x:c>
      <x:c r="U10" s="45" t="n">
        <x:f>IF(COUNTIFS('Observations'!$A$6:$A$500,$B10,'Observations'!$F$6:$F$500,"&lt;="&amp;9)=0,"",SUMIFS('Observations'!$G$6:$G$500,'Observations'!$A$6:$A$500,$B10,'Observations'!$F$6:$F$500,MAXIFS('Observations'!$F$6:$F$500,'Observations'!$A$6:$A$500,$B10,'Observations'!$F$6:$F$500,"&lt;="&amp;9)))</x:f>
        <x:v>0.8</x:v>
      </x:c>
      <x:c r="V10" s="45" t="str">
        <x:f>IF(OR(U10="",S10=""),"",U10-S10)</x:f>
      </x:c>
      <x:c r="W10" s="44" t="n">
        <x:f>IF(COUNTIFS('Observations'!$A$6:$A$500,$B10,'Observations'!$F$6:$F$500,"&lt;="&amp;10)=0,"",SUMIFS('Observations'!$G$6:$G$500,'Observations'!$A$6:$A$500,$B10,'Observations'!$F$6:$F$500,MAXIFS('Observations'!$F$6:$F$500,'Observations'!$A$6:$A$500,$B10,'Observations'!$F$6:$F$500,"&lt;="&amp;10)))</x:f>
        <x:v>0.8</x:v>
      </x:c>
      <x:c r="X10" s="44" t="n">
        <x:f>IF(OR(W10="",U10=""),"",W10-U10)</x:f>
        <x:v>0</x:v>
      </x:c>
      <x:c r="Y10" s="44" t="n">
        <x:f>IF(COUNTIFS('Observations'!$A$6:$A$500,$B10,'Observations'!$F$6:$F$500,"&lt;="&amp;11)=0,"",SUMIFS('Observations'!$G$6:$G$500,'Observations'!$A$6:$A$500,$B10,'Observations'!$F$6:$F$500,MAXIFS('Observations'!$F$6:$F$500,'Observations'!$A$6:$A$500,$B10,'Observations'!$F$6:$F$500,"&lt;="&amp;11)))</x:f>
        <x:v>0.8</x:v>
      </x:c>
      <x:c r="Z10" s="44" t="n">
        <x:f>IF(OR(Y10="",W10=""),"",Y10-W10)</x:f>
        <x:v>0</x:v>
      </x:c>
      <x:c r="AA10" s="46" t="n">
        <x:f>IF('Model'!$D10=0,"",1-POWER(2,-MAX('Model'!$M10,'Model'!$M10+'Model'!$N10*(12-'Methodology'!$B$8)+0.5*'Model'!$P10*POWER(12-'Methodology'!$B$8,2))))</x:f>
        <x:v>0.8</x:v>
      </x:c>
      <x:c r="AB10" s="46" t="n">
        <x:f>IF(OR(AA10="",Y10=""),"",AA10-Y10)</x:f>
        <x:v>0</x:v>
      </x:c>
      <x:c r="AC10" s="46" t="n">
        <x:f>IF('Model'!$D10=0,"",1-POWER(2,-MAX('Model'!$M10,'Model'!$M10+'Model'!$N10*(13-'Methodology'!$B$8)+0.5*'Model'!$P10*POWER(13-'Methodology'!$B$8,2))))</x:f>
        <x:v>0.8</x:v>
      </x:c>
      <x:c r="AD10" s="46" t="n">
        <x:f>IF(OR(AC10="",AA10=""),"",AC10-AA10)</x:f>
        <x:v>0</x:v>
      </x:c>
      <x:c r="AE10" s="46" t="n">
        <x:f>IF('Model'!$D10=0,"",1-POWER(2,-MAX('Model'!$M10,'Model'!$M10+'Model'!$N10*(14-'Methodology'!$B$8)+0.5*'Model'!$P10*POWER(14-'Methodology'!$B$8,2))))</x:f>
        <x:v>0.8</x:v>
      </x:c>
      <x:c r="AF10" s="46" t="n">
        <x:f>IF(OR(AE10="",AC10=""),"",AE10-AC10)</x:f>
        <x:v>0</x:v>
      </x:c>
      <x:c r="AG10" s="46" t="n">
        <x:f>IF('Model'!$D10=0,"",1-POWER(2,-MAX('Model'!$M10,'Model'!$M10+'Model'!$N10*(15-'Methodology'!$B$8)+0.5*'Model'!$P10*POWER(15-'Methodology'!$B$8,2))))</x:f>
        <x:v>0.8</x:v>
      </x:c>
      <x:c r="AH10" s="46" t="n">
        <x:f>IF(OR(AG10="",AE10=""),"",AG10-AE10)</x:f>
        <x:v>0</x:v>
      </x:c>
      <x:c r="AI10" s="46" t="n">
        <x:f>IF('Model'!$D10=0,"",1-POWER(2,-MAX('Model'!$M10,'Model'!$M10+'Model'!$N10*(16-'Methodology'!$B$8)+0.5*'Model'!$P10*POWER(16-'Methodology'!$B$8,2))))</x:f>
        <x:v>0.8</x:v>
      </x:c>
      <x:c r="AJ10" s="46" t="n">
        <x:f>IF(OR(AI10="",AG10=""),"",AI10-AG10)</x:f>
        <x:v>0</x:v>
      </x:c>
      <x:c r="AK10" s="46" t="n">
        <x:f>IF('Model'!$D10=0,"",1-POWER(2,-MAX('Model'!$M10,'Model'!$M10+'Model'!$N10*(17-'Methodology'!$B$8)+0.5*'Model'!$P10*POWER(17-'Methodology'!$B$8,2))))</x:f>
        <x:v>0.8</x:v>
      </x:c>
      <x:c r="AL10" s="46" t="n">
        <x:f>IF(OR(AK10="",AI10=""),"",AK10-AI10)</x:f>
        <x:v>0</x:v>
      </x:c>
      <x:c r="AM10" s="46" t="n">
        <x:f>IF('Model'!$D10=0,"",1-POWER(2,-MAX('Model'!$M10,'Model'!$M10+'Model'!$N10*(18-'Methodology'!$B$8)+0.5*'Model'!$P10*POWER(18-'Methodology'!$B$8,2))))</x:f>
        <x:v>0.8</x:v>
      </x:c>
      <x:c r="AN10" s="46" t="n">
        <x:f>IF(OR(AM10="",AK10=""),"",AM10-AK10)</x:f>
        <x:v>0</x:v>
      </x:c>
      <x:c r="AO10" s="46" t="n">
        <x:f>IF('Model'!$D10=0,"",1-POWER(2,-MAX('Model'!$M10,'Model'!$M10+'Model'!$N10*(19-'Methodology'!$B$8)+0.5*'Model'!$P10*POWER(19-'Methodology'!$B$8,2))))</x:f>
        <x:v>0.8</x:v>
      </x:c>
      <x:c r="AP10" s="46" t="n">
        <x:f>IF(OR(AO10="",AM10=""),"",AO10-AM10)</x:f>
        <x:v>0</x:v>
      </x:c>
      <x:c r="AQ10" s="46" t="n">
        <x:f>IF('Model'!$D10=0,"",1-POWER(2,-MAX('Model'!$M10,'Model'!$M10+'Model'!$N10*(20-'Methodology'!$B$8)+0.5*'Model'!$P10*POWER(20-'Methodology'!$B$8,2))))</x:f>
        <x:v>0.8</x:v>
      </x:c>
      <x:c r="AR10" s="46" t="n">
        <x:f>IF(OR(AQ10="",AO10=""),"",AQ10-AO10)</x:f>
        <x:v>0</x:v>
      </x:c>
      <x:c r="AS10" s="24" t="n">
        <x:f>IF('Model'!$D10=0,"",Y10)</x:f>
        <x:v>0.8</x:v>
      </x:c>
      <x:c r="AT10" s="17" t="str">
        <x:f>'Model'!S10</x:f>
        <x:v>B</x:v>
      </x:c>
      <x:c r="AU10" s="26" t="n">
        <x:f>IF('Model'!$D10=0,"",'Model'!T10)</x:f>
        <x:v>3</x:v>
      </x:c>
      <x:c r="AV10" s="26" t="n">
        <x:f>IFERROR((AVERAGEIF($A$6:$A$28,"Direct economic stewardship",$AU$6:$AU$28)*'Summary'!$K$13+AVERAGEIF($A$6:$A$28,"Operational execution",$AU$6:$AU$28)*'Summary'!$K$14+AVERAGEIF($A$6:$A$28,"Personal stewardship transfer",$AU$6:$AU$28)*'Summary'!$K$15+AVERAGEIF($A$6:$A$28,"Economic value &amp; governance",$AU$6:$AU$28)*'Summary'!$K$16)/SUM('Summary'!$K$13:$K$16),"")</x:f>
        <x:v>0.6336477987421384</x:v>
      </x:c>
      <x:c r="AW10" s="25" t="n">
        <x:f>'Model'!N10</x:f>
        <x:v>0</x:v>
      </x:c>
      <x:c r="AX10" s="25" t="n">
        <x:f>'Model'!P10</x:f>
        <x:v>0</x:v>
      </x:c>
      <x:c r="AY10" s="17" t="str">
        <x:f>'Model'!Q10</x:f>
        <x:v>Flat — one observation</x:v>
      </x:c>
    </x:row>
    <x:row r="11" ht="46" hidden="0" customHeight="1">
      <x:c r="A11" s="17" t="str">
        <x:v>Direct economic stewardship</x:v>
      </x:c>
      <x:c r="B11" s="17" t="str">
        <x:v>DES-06</x:v>
      </x:c>
      <x:c r="C11" s="17" t="str">
        <x:v>RetailBench</x:v>
      </x:c>
      <x:c r="D11" s="17" t="str">
        <x:v>Best LLM final net worth / $131,510.42 oracle final net worth</x:v>
      </x:c>
      <x:c r="E11" s="44" t="str">
        <x:f>IF(COUNTIFS('Observations'!$A$6:$A$500,$B11,'Observations'!$F$6:$F$500,"&lt;="&amp;1)=0,"",SUMIFS('Observations'!$G$6:$G$500,'Observations'!$A$6:$A$500,$B11,'Observations'!$F$6:$F$500,MAXIFS('Observations'!$F$6:$F$500,'Observations'!$A$6:$A$500,$B11,'Observations'!$F$6:$F$500,"&lt;="&amp;1)))</x:f>
      </x:c>
      <x:c r="F11" s="44" t="str">
        <x:f>""</x:f>
      </x:c>
      <x:c r="G11" s="44" t="str">
        <x:f>IF(COUNTIFS('Observations'!$A$6:$A$500,$B11,'Observations'!$F$6:$F$500,"&lt;="&amp;2)=0,"",SUMIFS('Observations'!$G$6:$G$500,'Observations'!$A$6:$A$500,$B11,'Observations'!$F$6:$F$500,MAXIFS('Observations'!$F$6:$F$500,'Observations'!$A$6:$A$500,$B11,'Observations'!$F$6:$F$500,"&lt;="&amp;2)))</x:f>
      </x:c>
      <x:c r="H11" s="44" t="str">
        <x:f>IF(OR(G11="",E11=""),"",G11-E11)</x:f>
      </x:c>
      <x:c r="I11" s="44" t="str">
        <x:f>IF(COUNTIFS('Observations'!$A$6:$A$500,$B11,'Observations'!$F$6:$F$500,"&lt;="&amp;3)=0,"",SUMIFS('Observations'!$G$6:$G$500,'Observations'!$A$6:$A$500,$B11,'Observations'!$F$6:$F$500,MAXIFS('Observations'!$F$6:$F$500,'Observations'!$A$6:$A$500,$B11,'Observations'!$F$6:$F$500,"&lt;="&amp;3)))</x:f>
      </x:c>
      <x:c r="J11" s="44" t="str">
        <x:f>IF(OR(I11="",G11=""),"",I11-G11)</x:f>
      </x:c>
      <x:c r="K11" s="44" t="str">
        <x:f>IF(COUNTIFS('Observations'!$A$6:$A$500,$B11,'Observations'!$F$6:$F$500,"&lt;="&amp;4)=0,"",SUMIFS('Observations'!$G$6:$G$500,'Observations'!$A$6:$A$500,$B11,'Observations'!$F$6:$F$500,MAXIFS('Observations'!$F$6:$F$500,'Observations'!$A$6:$A$500,$B11,'Observations'!$F$6:$F$500,"&lt;="&amp;4)))</x:f>
      </x:c>
      <x:c r="L11" s="44" t="str">
        <x:f>IF(OR(K11="",I11=""),"",K11-I11)</x:f>
      </x:c>
      <x:c r="M11" s="44" t="str">
        <x:f>IF(COUNTIFS('Observations'!$A$6:$A$500,$B11,'Observations'!$F$6:$F$500,"&lt;="&amp;5)=0,"",SUMIFS('Observations'!$G$6:$G$500,'Observations'!$A$6:$A$500,$B11,'Observations'!$F$6:$F$500,MAXIFS('Observations'!$F$6:$F$500,'Observations'!$A$6:$A$500,$B11,'Observations'!$F$6:$F$500,"&lt;="&amp;5)))</x:f>
      </x:c>
      <x:c r="N11" s="44" t="str">
        <x:f>IF(OR(M11="",K11=""),"",M11-K11)</x:f>
      </x:c>
      <x:c r="O11" s="44" t="str">
        <x:f>IF(COUNTIFS('Observations'!$A$6:$A$500,$B11,'Observations'!$F$6:$F$500,"&lt;="&amp;6)=0,"",SUMIFS('Observations'!$G$6:$G$500,'Observations'!$A$6:$A$500,$B11,'Observations'!$F$6:$F$500,MAXIFS('Observations'!$F$6:$F$500,'Observations'!$A$6:$A$500,$B11,'Observations'!$F$6:$F$500,"&lt;="&amp;6)))</x:f>
      </x:c>
      <x:c r="P11" s="44" t="str">
        <x:f>IF(OR(O11="",M11=""),"",O11-M11)</x:f>
      </x:c>
      <x:c r="Q11" s="44" t="str">
        <x:f>IF(COUNTIFS('Observations'!$A$6:$A$500,$B11,'Observations'!$F$6:$F$500,"&lt;="&amp;7)=0,"",SUMIFS('Observations'!$G$6:$G$500,'Observations'!$A$6:$A$500,$B11,'Observations'!$F$6:$F$500,MAXIFS('Observations'!$F$6:$F$500,'Observations'!$A$6:$A$500,$B11,'Observations'!$F$6:$F$500,"&lt;="&amp;7)))</x:f>
      </x:c>
      <x:c r="R11" s="44" t="str">
        <x:f>IF(OR(Q11="",O11=""),"",Q11-O11)</x:f>
      </x:c>
      <x:c r="S11" s="44" t="str">
        <x:f>IF(COUNTIFS('Observations'!$A$6:$A$500,$B11,'Observations'!$F$6:$F$500,"&lt;="&amp;8)=0,"",SUMIFS('Observations'!$G$6:$G$500,'Observations'!$A$6:$A$500,$B11,'Observations'!$F$6:$F$500,MAXIFS('Observations'!$F$6:$F$500,'Observations'!$A$6:$A$500,$B11,'Observations'!$F$6:$F$500,"&lt;="&amp;8)))</x:f>
      </x:c>
      <x:c r="T11" s="44" t="str">
        <x:f>IF(OR(S11="",Q11=""),"",S11-Q11)</x:f>
      </x:c>
      <x:c r="U11" s="44" t="str">
        <x:f>IF(COUNTIFS('Observations'!$A$6:$A$500,$B11,'Observations'!$F$6:$F$500,"&lt;="&amp;9)=0,"",SUMIFS('Observations'!$G$6:$G$500,'Observations'!$A$6:$A$500,$B11,'Observations'!$F$6:$F$500,MAXIFS('Observations'!$F$6:$F$500,'Observations'!$A$6:$A$500,$B11,'Observations'!$F$6:$F$500,"&lt;="&amp;9)))</x:f>
      </x:c>
      <x:c r="V11" s="44" t="str">
        <x:f>IF(OR(U11="",S11=""),"",U11-S11)</x:f>
      </x:c>
      <x:c r="W11" s="44" t="str">
        <x:f>IF(COUNTIFS('Observations'!$A$6:$A$500,$B11,'Observations'!$F$6:$F$500,"&lt;="&amp;10)=0,"",SUMIFS('Observations'!$G$6:$G$500,'Observations'!$A$6:$A$500,$B11,'Observations'!$F$6:$F$500,MAXIFS('Observations'!$F$6:$F$500,'Observations'!$A$6:$A$500,$B11,'Observations'!$F$6:$F$500,"&lt;="&amp;10)))</x:f>
      </x:c>
      <x:c r="X11" s="44" t="str">
        <x:f>IF(OR(W11="",U11=""),"",W11-U11)</x:f>
      </x:c>
      <x:c r="Y11" s="45" t="n">
        <x:f>IF(COUNTIFS('Observations'!$A$6:$A$500,$B11,'Observations'!$F$6:$F$500,"&lt;="&amp;11)=0,"",SUMIFS('Observations'!$G$6:$G$500,'Observations'!$A$6:$A$500,$B11,'Observations'!$F$6:$F$500,MAXIFS('Observations'!$F$6:$F$500,'Observations'!$A$6:$A$500,$B11,'Observations'!$F$6:$F$500,"&lt;="&amp;11)))</x:f>
        <x:v>0.18516388283148968</x:v>
      </x:c>
      <x:c r="Z11" s="45" t="str">
        <x:f>IF(OR(Y11="",W11=""),"",Y11-W11)</x:f>
      </x:c>
      <x:c r="AA11" s="46" t="n">
        <x:f>IF('Model'!$D11=0,"",1-POWER(2,-MAX('Model'!$M11,'Model'!$M11+'Model'!$N11*(12-'Methodology'!$B$8)+0.5*'Model'!$P11*POWER(12-'Methodology'!$B$8,2))))</x:f>
        <x:v>0.18516388283148966</x:v>
      </x:c>
      <x:c r="AB11" s="46" t="n">
        <x:f>IF(OR(AA11="",Y11=""),"",AA11-Y11)</x:f>
        <x:v>-2.7755575615628914e-17</x:v>
      </x:c>
      <x:c r="AC11" s="46" t="n">
        <x:f>IF('Model'!$D11=0,"",1-POWER(2,-MAX('Model'!$M11,'Model'!$M11+'Model'!$N11*(13-'Methodology'!$B$8)+0.5*'Model'!$P11*POWER(13-'Methodology'!$B$8,2))))</x:f>
        <x:v>0.18516388283148966</x:v>
      </x:c>
      <x:c r="AD11" s="46" t="n">
        <x:f>IF(OR(AC11="",AA11=""),"",AC11-AA11)</x:f>
        <x:v>0</x:v>
      </x:c>
      <x:c r="AE11" s="46" t="n">
        <x:f>IF('Model'!$D11=0,"",1-POWER(2,-MAX('Model'!$M11,'Model'!$M11+'Model'!$N11*(14-'Methodology'!$B$8)+0.5*'Model'!$P11*POWER(14-'Methodology'!$B$8,2))))</x:f>
        <x:v>0.18516388283148966</x:v>
      </x:c>
      <x:c r="AF11" s="46" t="n">
        <x:f>IF(OR(AE11="",AC11=""),"",AE11-AC11)</x:f>
        <x:v>0</x:v>
      </x:c>
      <x:c r="AG11" s="46" t="n">
        <x:f>IF('Model'!$D11=0,"",1-POWER(2,-MAX('Model'!$M11,'Model'!$M11+'Model'!$N11*(15-'Methodology'!$B$8)+0.5*'Model'!$P11*POWER(15-'Methodology'!$B$8,2))))</x:f>
        <x:v>0.18516388283148966</x:v>
      </x:c>
      <x:c r="AH11" s="46" t="n">
        <x:f>IF(OR(AG11="",AE11=""),"",AG11-AE11)</x:f>
        <x:v>0</x:v>
      </x:c>
      <x:c r="AI11" s="46" t="n">
        <x:f>IF('Model'!$D11=0,"",1-POWER(2,-MAX('Model'!$M11,'Model'!$M11+'Model'!$N11*(16-'Methodology'!$B$8)+0.5*'Model'!$P11*POWER(16-'Methodology'!$B$8,2))))</x:f>
        <x:v>0.18516388283148966</x:v>
      </x:c>
      <x:c r="AJ11" s="46" t="n">
        <x:f>IF(OR(AI11="",AG11=""),"",AI11-AG11)</x:f>
        <x:v>0</x:v>
      </x:c>
      <x:c r="AK11" s="46" t="n">
        <x:f>IF('Model'!$D11=0,"",1-POWER(2,-MAX('Model'!$M11,'Model'!$M11+'Model'!$N11*(17-'Methodology'!$B$8)+0.5*'Model'!$P11*POWER(17-'Methodology'!$B$8,2))))</x:f>
        <x:v>0.18516388283148966</x:v>
      </x:c>
      <x:c r="AL11" s="46" t="n">
        <x:f>IF(OR(AK11="",AI11=""),"",AK11-AI11)</x:f>
        <x:v>0</x:v>
      </x:c>
      <x:c r="AM11" s="46" t="n">
        <x:f>IF('Model'!$D11=0,"",1-POWER(2,-MAX('Model'!$M11,'Model'!$M11+'Model'!$N11*(18-'Methodology'!$B$8)+0.5*'Model'!$P11*POWER(18-'Methodology'!$B$8,2))))</x:f>
        <x:v>0.18516388283148966</x:v>
      </x:c>
      <x:c r="AN11" s="46" t="n">
        <x:f>IF(OR(AM11="",AK11=""),"",AM11-AK11)</x:f>
        <x:v>0</x:v>
      </x:c>
      <x:c r="AO11" s="46" t="n">
        <x:f>IF('Model'!$D11=0,"",1-POWER(2,-MAX('Model'!$M11,'Model'!$M11+'Model'!$N11*(19-'Methodology'!$B$8)+0.5*'Model'!$P11*POWER(19-'Methodology'!$B$8,2))))</x:f>
        <x:v>0.18516388283148966</x:v>
      </x:c>
      <x:c r="AP11" s="46" t="n">
        <x:f>IF(OR(AO11="",AM11=""),"",AO11-AM11)</x:f>
        <x:v>0</x:v>
      </x:c>
      <x:c r="AQ11" s="46" t="n">
        <x:f>IF('Model'!$D11=0,"",1-POWER(2,-MAX('Model'!$M11,'Model'!$M11+'Model'!$N11*(20-'Methodology'!$B$8)+0.5*'Model'!$P11*POWER(20-'Methodology'!$B$8,2))))</x:f>
        <x:v>0.18516388283148966</x:v>
      </x:c>
      <x:c r="AR11" s="46" t="n">
        <x:f>IF(OR(AQ11="",AO11=""),"",AQ11-AO11)</x:f>
        <x:v>0</x:v>
      </x:c>
      <x:c r="AS11" s="24" t="n">
        <x:f>IF('Model'!$D11=0,"",Y11)</x:f>
        <x:v>0.18516388283148968</x:v>
      </x:c>
      <x:c r="AT11" s="17" t="str">
        <x:f>'Model'!S11</x:f>
        <x:v>F</x:v>
      </x:c>
      <x:c r="AU11" s="26" t="n">
        <x:f>IF('Model'!$D11=0,"",'Model'!T11)</x:f>
        <x:v>0</x:v>
      </x:c>
      <x:c r="AV11" s="26" t="n">
        <x:f>IFERROR((AVERAGEIF($A$6:$A$28,"Direct economic stewardship",$AU$6:$AU$28)*'Summary'!$K$13+AVERAGEIF($A$6:$A$28,"Operational execution",$AU$6:$AU$28)*'Summary'!$K$14+AVERAGEIF($A$6:$A$28,"Personal stewardship transfer",$AU$6:$AU$28)*'Summary'!$K$15+AVERAGEIF($A$6:$A$28,"Economic value &amp; governance",$AU$6:$AU$28)*'Summary'!$K$16)/SUM('Summary'!$K$13:$K$16),"")</x:f>
        <x:v>0.6336477987421384</x:v>
      </x:c>
      <x:c r="AW11" s="25" t="n">
        <x:f>'Model'!N11</x:f>
        <x:v>0</x:v>
      </x:c>
      <x:c r="AX11" s="25" t="n">
        <x:f>'Model'!P11</x:f>
        <x:v>0</x:v>
      </x:c>
      <x:c r="AY11" s="17" t="str">
        <x:f>'Model'!Q11</x:f>
        <x:v>Flat — one observation</x:v>
      </x:c>
    </x:row>
    <x:row r="12" ht="46" hidden="0" customHeight="1">
      <x:c r="A12" s="17" t="str">
        <x:v>Direct economic stewardship</x:v>
      </x:c>
      <x:c r="B12" s="17" t="str">
        <x:v>DES-07</x:v>
      </x:c>
      <x:c r="C12" s="17" t="str">
        <x:v>MerchantBench</x:v>
      </x:c>
      <x:c r="D12" s="17" t="str">
        <x:v>Best LLM mean final net assets / human-participant mean</x:v>
      </x:c>
      <x:c r="E12" s="44" t="str">
        <x:f>IF(COUNTIFS('Observations'!$A$6:$A$500,$B12,'Observations'!$F$6:$F$500,"&lt;="&amp;1)=0,"",SUMIFS('Observations'!$G$6:$G$500,'Observations'!$A$6:$A$500,$B12,'Observations'!$F$6:$F$500,MAXIFS('Observations'!$F$6:$F$500,'Observations'!$A$6:$A$500,$B12,'Observations'!$F$6:$F$500,"&lt;="&amp;1)))</x:f>
      </x:c>
      <x:c r="F12" s="44" t="str">
        <x:f>""</x:f>
      </x:c>
      <x:c r="G12" s="44" t="str">
        <x:f>IF(COUNTIFS('Observations'!$A$6:$A$500,$B12,'Observations'!$F$6:$F$500,"&lt;="&amp;2)=0,"",SUMIFS('Observations'!$G$6:$G$500,'Observations'!$A$6:$A$500,$B12,'Observations'!$F$6:$F$500,MAXIFS('Observations'!$F$6:$F$500,'Observations'!$A$6:$A$500,$B12,'Observations'!$F$6:$F$500,"&lt;="&amp;2)))</x:f>
      </x:c>
      <x:c r="H12" s="44" t="str">
        <x:f>IF(OR(G12="",E12=""),"",G12-E12)</x:f>
      </x:c>
      <x:c r="I12" s="44" t="str">
        <x:f>IF(COUNTIFS('Observations'!$A$6:$A$500,$B12,'Observations'!$F$6:$F$500,"&lt;="&amp;3)=0,"",SUMIFS('Observations'!$G$6:$G$500,'Observations'!$A$6:$A$500,$B12,'Observations'!$F$6:$F$500,MAXIFS('Observations'!$F$6:$F$500,'Observations'!$A$6:$A$500,$B12,'Observations'!$F$6:$F$500,"&lt;="&amp;3)))</x:f>
      </x:c>
      <x:c r="J12" s="44" t="str">
        <x:f>IF(OR(I12="",G12=""),"",I12-G12)</x:f>
      </x:c>
      <x:c r="K12" s="44" t="str">
        <x:f>IF(COUNTIFS('Observations'!$A$6:$A$500,$B12,'Observations'!$F$6:$F$500,"&lt;="&amp;4)=0,"",SUMIFS('Observations'!$G$6:$G$500,'Observations'!$A$6:$A$500,$B12,'Observations'!$F$6:$F$500,MAXIFS('Observations'!$F$6:$F$500,'Observations'!$A$6:$A$500,$B12,'Observations'!$F$6:$F$500,"&lt;="&amp;4)))</x:f>
      </x:c>
      <x:c r="L12" s="44" t="str">
        <x:f>IF(OR(K12="",I12=""),"",K12-I12)</x:f>
      </x:c>
      <x:c r="M12" s="44" t="str">
        <x:f>IF(COUNTIFS('Observations'!$A$6:$A$500,$B12,'Observations'!$F$6:$F$500,"&lt;="&amp;5)=0,"",SUMIFS('Observations'!$G$6:$G$500,'Observations'!$A$6:$A$500,$B12,'Observations'!$F$6:$F$500,MAXIFS('Observations'!$F$6:$F$500,'Observations'!$A$6:$A$500,$B12,'Observations'!$F$6:$F$500,"&lt;="&amp;5)))</x:f>
      </x:c>
      <x:c r="N12" s="44" t="str">
        <x:f>IF(OR(M12="",K12=""),"",M12-K12)</x:f>
      </x:c>
      <x:c r="O12" s="44" t="str">
        <x:f>IF(COUNTIFS('Observations'!$A$6:$A$500,$B12,'Observations'!$F$6:$F$500,"&lt;="&amp;6)=0,"",SUMIFS('Observations'!$G$6:$G$500,'Observations'!$A$6:$A$500,$B12,'Observations'!$F$6:$F$500,MAXIFS('Observations'!$F$6:$F$500,'Observations'!$A$6:$A$500,$B12,'Observations'!$F$6:$F$500,"&lt;="&amp;6)))</x:f>
      </x:c>
      <x:c r="P12" s="44" t="str">
        <x:f>IF(OR(O12="",M12=""),"",O12-M12)</x:f>
      </x:c>
      <x:c r="Q12" s="44" t="str">
        <x:f>IF(COUNTIFS('Observations'!$A$6:$A$500,$B12,'Observations'!$F$6:$F$500,"&lt;="&amp;7)=0,"",SUMIFS('Observations'!$G$6:$G$500,'Observations'!$A$6:$A$500,$B12,'Observations'!$F$6:$F$500,MAXIFS('Observations'!$F$6:$F$500,'Observations'!$A$6:$A$500,$B12,'Observations'!$F$6:$F$500,"&lt;="&amp;7)))</x:f>
      </x:c>
      <x:c r="R12" s="44" t="str">
        <x:f>IF(OR(Q12="",O12=""),"",Q12-O12)</x:f>
      </x:c>
      <x:c r="S12" s="44" t="str">
        <x:f>IF(COUNTIFS('Observations'!$A$6:$A$500,$B12,'Observations'!$F$6:$F$500,"&lt;="&amp;8)=0,"",SUMIFS('Observations'!$G$6:$G$500,'Observations'!$A$6:$A$500,$B12,'Observations'!$F$6:$F$500,MAXIFS('Observations'!$F$6:$F$500,'Observations'!$A$6:$A$500,$B12,'Observations'!$F$6:$F$500,"&lt;="&amp;8)))</x:f>
      </x:c>
      <x:c r="T12" s="44" t="str">
        <x:f>IF(OR(S12="",Q12=""),"",S12-Q12)</x:f>
      </x:c>
      <x:c r="U12" s="44" t="str">
        <x:f>IF(COUNTIFS('Observations'!$A$6:$A$500,$B12,'Observations'!$F$6:$F$500,"&lt;="&amp;9)=0,"",SUMIFS('Observations'!$G$6:$G$500,'Observations'!$A$6:$A$500,$B12,'Observations'!$F$6:$F$500,MAXIFS('Observations'!$F$6:$F$500,'Observations'!$A$6:$A$500,$B12,'Observations'!$F$6:$F$500,"&lt;="&amp;9)))</x:f>
      </x:c>
      <x:c r="V12" s="44" t="str">
        <x:f>IF(OR(U12="",S12=""),"",U12-S12)</x:f>
      </x:c>
      <x:c r="W12" s="44" t="str">
        <x:f>IF(COUNTIFS('Observations'!$A$6:$A$500,$B12,'Observations'!$F$6:$F$500,"&lt;="&amp;10)=0,"",SUMIFS('Observations'!$G$6:$G$500,'Observations'!$A$6:$A$500,$B12,'Observations'!$F$6:$F$500,MAXIFS('Observations'!$F$6:$F$500,'Observations'!$A$6:$A$500,$B12,'Observations'!$F$6:$F$500,"&lt;="&amp;10)))</x:f>
      </x:c>
      <x:c r="X12" s="44" t="str">
        <x:f>IF(OR(W12="",U12=""),"",W12-U12)</x:f>
      </x:c>
      <x:c r="Y12" s="45" t="n">
        <x:f>IF(COUNTIFS('Observations'!$A$6:$A$500,$B12,'Observations'!$F$6:$F$500,"&lt;="&amp;11)=0,"",SUMIFS('Observations'!$G$6:$G$500,'Observations'!$A$6:$A$500,$B12,'Observations'!$F$6:$F$500,MAXIFS('Observations'!$F$6:$F$500,'Observations'!$A$6:$A$500,$B12,'Observations'!$F$6:$F$500,"&lt;="&amp;11)))</x:f>
        <x:v>0.273</x:v>
      </x:c>
      <x:c r="Z12" s="45" t="str">
        <x:f>IF(OR(Y12="",W12=""),"",Y12-W12)</x:f>
      </x:c>
      <x:c r="AA12" s="46" t="n">
        <x:f>IF('Model'!$D12=0,"",1-POWER(2,-MAX('Model'!$M12,'Model'!$M12+'Model'!$N12*(12-'Methodology'!$B$8)+0.5*'Model'!$P12*POWER(12-'Methodology'!$B$8,2))))</x:f>
        <x:v>0.273</x:v>
      </x:c>
      <x:c r="AB12" s="46" t="n">
        <x:f>IF(OR(AA12="",Y12=""),"",AA12-Y12)</x:f>
        <x:v>0</x:v>
      </x:c>
      <x:c r="AC12" s="46" t="n">
        <x:f>IF('Model'!$D12=0,"",1-POWER(2,-MAX('Model'!$M12,'Model'!$M12+'Model'!$N12*(13-'Methodology'!$B$8)+0.5*'Model'!$P12*POWER(13-'Methodology'!$B$8,2))))</x:f>
        <x:v>0.273</x:v>
      </x:c>
      <x:c r="AD12" s="46" t="n">
        <x:f>IF(OR(AC12="",AA12=""),"",AC12-AA12)</x:f>
        <x:v>0</x:v>
      </x:c>
      <x:c r="AE12" s="46" t="n">
        <x:f>IF('Model'!$D12=0,"",1-POWER(2,-MAX('Model'!$M12,'Model'!$M12+'Model'!$N12*(14-'Methodology'!$B$8)+0.5*'Model'!$P12*POWER(14-'Methodology'!$B$8,2))))</x:f>
        <x:v>0.273</x:v>
      </x:c>
      <x:c r="AF12" s="46" t="n">
        <x:f>IF(OR(AE12="",AC12=""),"",AE12-AC12)</x:f>
        <x:v>0</x:v>
      </x:c>
      <x:c r="AG12" s="46" t="n">
        <x:f>IF('Model'!$D12=0,"",1-POWER(2,-MAX('Model'!$M12,'Model'!$M12+'Model'!$N12*(15-'Methodology'!$B$8)+0.5*'Model'!$P12*POWER(15-'Methodology'!$B$8,2))))</x:f>
        <x:v>0.273</x:v>
      </x:c>
      <x:c r="AH12" s="46" t="n">
        <x:f>IF(OR(AG12="",AE12=""),"",AG12-AE12)</x:f>
        <x:v>0</x:v>
      </x:c>
      <x:c r="AI12" s="46" t="n">
        <x:f>IF('Model'!$D12=0,"",1-POWER(2,-MAX('Model'!$M12,'Model'!$M12+'Model'!$N12*(16-'Methodology'!$B$8)+0.5*'Model'!$P12*POWER(16-'Methodology'!$B$8,2))))</x:f>
        <x:v>0.273</x:v>
      </x:c>
      <x:c r="AJ12" s="46" t="n">
        <x:f>IF(OR(AI12="",AG12=""),"",AI12-AG12)</x:f>
        <x:v>0</x:v>
      </x:c>
      <x:c r="AK12" s="46" t="n">
        <x:f>IF('Model'!$D12=0,"",1-POWER(2,-MAX('Model'!$M12,'Model'!$M12+'Model'!$N12*(17-'Methodology'!$B$8)+0.5*'Model'!$P12*POWER(17-'Methodology'!$B$8,2))))</x:f>
        <x:v>0.273</x:v>
      </x:c>
      <x:c r="AL12" s="46" t="n">
        <x:f>IF(OR(AK12="",AI12=""),"",AK12-AI12)</x:f>
        <x:v>0</x:v>
      </x:c>
      <x:c r="AM12" s="46" t="n">
        <x:f>IF('Model'!$D12=0,"",1-POWER(2,-MAX('Model'!$M12,'Model'!$M12+'Model'!$N12*(18-'Methodology'!$B$8)+0.5*'Model'!$P12*POWER(18-'Methodology'!$B$8,2))))</x:f>
        <x:v>0.273</x:v>
      </x:c>
      <x:c r="AN12" s="46" t="n">
        <x:f>IF(OR(AM12="",AK12=""),"",AM12-AK12)</x:f>
        <x:v>0</x:v>
      </x:c>
      <x:c r="AO12" s="46" t="n">
        <x:f>IF('Model'!$D12=0,"",1-POWER(2,-MAX('Model'!$M12,'Model'!$M12+'Model'!$N12*(19-'Methodology'!$B$8)+0.5*'Model'!$P12*POWER(19-'Methodology'!$B$8,2))))</x:f>
        <x:v>0.273</x:v>
      </x:c>
      <x:c r="AP12" s="46" t="n">
        <x:f>IF(OR(AO12="",AM12=""),"",AO12-AM12)</x:f>
        <x:v>0</x:v>
      </x:c>
      <x:c r="AQ12" s="46" t="n">
        <x:f>IF('Model'!$D12=0,"",1-POWER(2,-MAX('Model'!$M12,'Model'!$M12+'Model'!$N12*(20-'Methodology'!$B$8)+0.5*'Model'!$P12*POWER(20-'Methodology'!$B$8,2))))</x:f>
        <x:v>0.273</x:v>
      </x:c>
      <x:c r="AR12" s="46" t="n">
        <x:f>IF(OR(AQ12="",AO12=""),"",AQ12-AO12)</x:f>
        <x:v>0</x:v>
      </x:c>
      <x:c r="AS12" s="24" t="n">
        <x:f>IF('Model'!$D12=0,"",Y12)</x:f>
        <x:v>0.273</x:v>
      </x:c>
      <x:c r="AT12" s="17" t="str">
        <x:f>'Model'!S12</x:f>
        <x:v>F</x:v>
      </x:c>
      <x:c r="AU12" s="26" t="n">
        <x:f>IF('Model'!$D12=0,"",'Model'!T12)</x:f>
        <x:v>0</x:v>
      </x:c>
      <x:c r="AV12" s="26" t="n">
        <x:f>IFERROR((AVERAGEIF($A$6:$A$28,"Direct economic stewardship",$AU$6:$AU$28)*'Summary'!$K$13+AVERAGEIF($A$6:$A$28,"Operational execution",$AU$6:$AU$28)*'Summary'!$K$14+AVERAGEIF($A$6:$A$28,"Personal stewardship transfer",$AU$6:$AU$28)*'Summary'!$K$15+AVERAGEIF($A$6:$A$28,"Economic value &amp; governance",$AU$6:$AU$28)*'Summary'!$K$16)/SUM('Summary'!$K$13:$K$16),"")</x:f>
        <x:v>0.6336477987421384</x:v>
      </x:c>
      <x:c r="AW12" s="25" t="n">
        <x:f>'Model'!N12</x:f>
        <x:v>0</x:v>
      </x:c>
      <x:c r="AX12" s="25" t="n">
        <x:f>'Model'!P12</x:f>
        <x:v>0</x:v>
      </x:c>
      <x:c r="AY12" s="17" t="str">
        <x:f>'Model'!Q12</x:f>
        <x:v>Flat — one observation</x:v>
      </x:c>
    </x:row>
    <x:row r="13" ht="46" hidden="0" customHeight="1">
      <x:c r="A13" s="17" t="str">
        <x:v>Operational execution</x:v>
      </x:c>
      <x:c r="B13" s="17" t="str">
        <x:v>OPS-01</x:v>
      </x:c>
      <x:c r="C13" s="17" t="str">
        <x:v>AutomationBench</x:v>
      </x:c>
      <x:c r="D13" s="17" t="str">
        <x:v>Public 600-task pass rate, max reasoning</x:v>
      </x:c>
      <x:c r="E13" s="44" t="str">
        <x:f>IF(COUNTIFS('Observations'!$A$6:$A$500,$B13,'Observations'!$F$6:$F$500,"&lt;="&amp;1)=0,"",SUMIFS('Observations'!$G$6:$G$500,'Observations'!$A$6:$A$500,$B13,'Observations'!$F$6:$F$500,MAXIFS('Observations'!$F$6:$F$500,'Observations'!$A$6:$A$500,$B13,'Observations'!$F$6:$F$500,"&lt;="&amp;1)))</x:f>
      </x:c>
      <x:c r="F13" s="44" t="str">
        <x:f>""</x:f>
      </x:c>
      <x:c r="G13" s="44" t="str">
        <x:f>IF(COUNTIFS('Observations'!$A$6:$A$500,$B13,'Observations'!$F$6:$F$500,"&lt;="&amp;2)=0,"",SUMIFS('Observations'!$G$6:$G$500,'Observations'!$A$6:$A$500,$B13,'Observations'!$F$6:$F$500,MAXIFS('Observations'!$F$6:$F$500,'Observations'!$A$6:$A$500,$B13,'Observations'!$F$6:$F$500,"&lt;="&amp;2)))</x:f>
      </x:c>
      <x:c r="H13" s="44" t="str">
        <x:f>IF(OR(G13="",E13=""),"",G13-E13)</x:f>
      </x:c>
      <x:c r="I13" s="44" t="str">
        <x:f>IF(COUNTIFS('Observations'!$A$6:$A$500,$B13,'Observations'!$F$6:$F$500,"&lt;="&amp;3)=0,"",SUMIFS('Observations'!$G$6:$G$500,'Observations'!$A$6:$A$500,$B13,'Observations'!$F$6:$F$500,MAXIFS('Observations'!$F$6:$F$500,'Observations'!$A$6:$A$500,$B13,'Observations'!$F$6:$F$500,"&lt;="&amp;3)))</x:f>
      </x:c>
      <x:c r="J13" s="44" t="str">
        <x:f>IF(OR(I13="",G13=""),"",I13-G13)</x:f>
      </x:c>
      <x:c r="K13" s="44" t="str">
        <x:f>IF(COUNTIFS('Observations'!$A$6:$A$500,$B13,'Observations'!$F$6:$F$500,"&lt;="&amp;4)=0,"",SUMIFS('Observations'!$G$6:$G$500,'Observations'!$A$6:$A$500,$B13,'Observations'!$F$6:$F$500,MAXIFS('Observations'!$F$6:$F$500,'Observations'!$A$6:$A$500,$B13,'Observations'!$F$6:$F$500,"&lt;="&amp;4)))</x:f>
      </x:c>
      <x:c r="L13" s="44" t="str">
        <x:f>IF(OR(K13="",I13=""),"",K13-I13)</x:f>
      </x:c>
      <x:c r="M13" s="44" t="str">
        <x:f>IF(COUNTIFS('Observations'!$A$6:$A$500,$B13,'Observations'!$F$6:$F$500,"&lt;="&amp;5)=0,"",SUMIFS('Observations'!$G$6:$G$500,'Observations'!$A$6:$A$500,$B13,'Observations'!$F$6:$F$500,MAXIFS('Observations'!$F$6:$F$500,'Observations'!$A$6:$A$500,$B13,'Observations'!$F$6:$F$500,"&lt;="&amp;5)))</x:f>
      </x:c>
      <x:c r="N13" s="44" t="str">
        <x:f>IF(OR(M13="",K13=""),"",M13-K13)</x:f>
      </x:c>
      <x:c r="O13" s="44" t="str">
        <x:f>IF(COUNTIFS('Observations'!$A$6:$A$500,$B13,'Observations'!$F$6:$F$500,"&lt;="&amp;6)=0,"",SUMIFS('Observations'!$G$6:$G$500,'Observations'!$A$6:$A$500,$B13,'Observations'!$F$6:$F$500,MAXIFS('Observations'!$F$6:$F$500,'Observations'!$A$6:$A$500,$B13,'Observations'!$F$6:$F$500,"&lt;="&amp;6)))</x:f>
      </x:c>
      <x:c r="P13" s="44" t="str">
        <x:f>IF(OR(O13="",M13=""),"",O13-M13)</x:f>
      </x:c>
      <x:c r="Q13" s="44" t="str">
        <x:f>IF(COUNTIFS('Observations'!$A$6:$A$500,$B13,'Observations'!$F$6:$F$500,"&lt;="&amp;7)=0,"",SUMIFS('Observations'!$G$6:$G$500,'Observations'!$A$6:$A$500,$B13,'Observations'!$F$6:$F$500,MAXIFS('Observations'!$F$6:$F$500,'Observations'!$A$6:$A$500,$B13,'Observations'!$F$6:$F$500,"&lt;="&amp;7)))</x:f>
      </x:c>
      <x:c r="R13" s="44" t="str">
        <x:f>IF(OR(Q13="",O13=""),"",Q13-O13)</x:f>
      </x:c>
      <x:c r="S13" s="44" t="str">
        <x:f>IF(COUNTIFS('Observations'!$A$6:$A$500,$B13,'Observations'!$F$6:$F$500,"&lt;="&amp;8)=0,"",SUMIFS('Observations'!$G$6:$G$500,'Observations'!$A$6:$A$500,$B13,'Observations'!$F$6:$F$500,MAXIFS('Observations'!$F$6:$F$500,'Observations'!$A$6:$A$500,$B13,'Observations'!$F$6:$F$500,"&lt;="&amp;8)))</x:f>
      </x:c>
      <x:c r="T13" s="44" t="str">
        <x:f>IF(OR(S13="",Q13=""),"",S13-Q13)</x:f>
      </x:c>
      <x:c r="U13" s="44" t="str">
        <x:f>IF(COUNTIFS('Observations'!$A$6:$A$500,$B13,'Observations'!$F$6:$F$500,"&lt;="&amp;9)=0,"",SUMIFS('Observations'!$G$6:$G$500,'Observations'!$A$6:$A$500,$B13,'Observations'!$F$6:$F$500,MAXIFS('Observations'!$F$6:$F$500,'Observations'!$A$6:$A$500,$B13,'Observations'!$F$6:$F$500,"&lt;="&amp;9)))</x:f>
      </x:c>
      <x:c r="V13" s="44" t="str">
        <x:f>IF(OR(U13="",S13=""),"",U13-S13)</x:f>
      </x:c>
      <x:c r="W13" s="45" t="n">
        <x:f>IF(COUNTIFS('Observations'!$A$6:$A$500,$B13,'Observations'!$F$6:$F$500,"&lt;="&amp;10)=0,"",SUMIFS('Observations'!$G$6:$G$500,'Observations'!$A$6:$A$500,$B13,'Observations'!$F$6:$F$500,MAXIFS('Observations'!$F$6:$F$500,'Observations'!$A$6:$A$500,$B13,'Observations'!$F$6:$F$500,"&lt;="&amp;10)))</x:f>
        <x:v>0.4617</x:v>
      </x:c>
      <x:c r="X13" s="45" t="str">
        <x:f>IF(OR(W13="",U13=""),"",W13-U13)</x:f>
      </x:c>
      <x:c r="Y13" s="45" t="n">
        <x:f>IF(COUNTIFS('Observations'!$A$6:$A$500,$B13,'Observations'!$F$6:$F$500,"&lt;="&amp;11)=0,"",SUMIFS('Observations'!$G$6:$G$500,'Observations'!$A$6:$A$500,$B13,'Observations'!$F$6:$F$500,MAXIFS('Observations'!$F$6:$F$500,'Observations'!$A$6:$A$500,$B13,'Observations'!$F$6:$F$500,"&lt;="&amp;11)))</x:f>
        <x:v>0.503</x:v>
      </x:c>
      <x:c r="Z13" s="45" t="n">
        <x:f>IF(OR(Y13="",W13=""),"",Y13-W13)</x:f>
        <x:v>0.0413</x:v>
      </x:c>
      <x:c r="AA13" s="46" t="n">
        <x:f>IF('Model'!$D13=0,"",1-POWER(2,-MAX('Model'!$M13,'Model'!$M13+'Model'!$N13*(12-'Methodology'!$B$8)+0.5*'Model'!$P13*POWER(12-'Methodology'!$B$8,2))))</x:f>
        <x:v>0.5411313394018207</x:v>
      </x:c>
      <x:c r="AB13" s="46" t="n">
        <x:f>IF(OR(AA13="",Y13=""),"",AA13-Y13)</x:f>
        <x:v>0.038131339401820674</x:v>
      </x:c>
      <x:c r="AC13" s="46" t="n">
        <x:f>IF('Model'!$D13=0,"",1-POWER(2,-MAX('Model'!$M13,'Model'!$M13+'Model'!$N13*(13-'Methodology'!$B$8)+0.5*'Model'!$P13*POWER(13-'Methodology'!$B$8,2))))</x:f>
        <x:v>0.5763371274061023</x:v>
      </x:c>
      <x:c r="AD13" s="46" t="n">
        <x:f>IF(OR(AC13="",AA13=""),"",AC13-AA13)</x:f>
        <x:v>0.035205788004281646</x:v>
      </x:c>
      <x:c r="AE13" s="46" t="n">
        <x:f>IF('Model'!$D13=0,"",1-POWER(2,-MAX('Model'!$M13,'Model'!$M13+'Model'!$N13*(14-'Methodology'!$B$8)+0.5*'Model'!$P13*POWER(14-'Methodology'!$B$8,2))))</x:f>
        <x:v>0.6088418211421751</x:v>
      </x:c>
      <x:c r="AF13" s="46" t="n">
        <x:f>IF(OR(AE13="",AC13=""),"",AE13-AC13)</x:f>
        <x:v>0.03250469373607279</x:v>
      </x:c>
      <x:c r="AG13" s="46" t="n">
        <x:f>IF('Model'!$D13=0,"",1-POWER(2,-MAX('Model'!$M13,'Model'!$M13+'Model'!$N13*(15-'Methodology'!$B$8)+0.5*'Model'!$P13*POWER(15-'Methodology'!$B$8,2))))</x:f>
        <x:v>0.6388526567112411</x:v>
      </x:c>
      <x:c r="AH13" s="46" t="n">
        <x:f>IF(OR(AG13="",AE13=""),"",AG13-AE13)</x:f>
        <x:v>0.03001083556906603</x:v>
      </x:c>
      <x:c r="AI13" s="46" t="n">
        <x:f>IF('Model'!$D13=0,"",1-POWER(2,-MAX('Model'!$M13,'Model'!$M13+'Model'!$N13*(16-'Methodology'!$B$8)+0.5*'Model'!$P13*POWER(16-'Methodology'!$B$8,2))))</x:f>
        <x:v>0.6665609704356062</x:v>
      </x:c>
      <x:c r="AJ13" s="46" t="n">
        <x:f>IF(OR(AI13="",AG13=""),"",AI13-AG13)</x:f>
        <x:v>0.027708313724365108</x:v>
      </x:c>
      <x:c r="AK13" s="46" t="n">
        <x:f>IF('Model'!$D13=0,"",1-POWER(2,-MAX('Model'!$M13,'Model'!$M13+'Model'!$N13*(17-'Methodology'!$B$8)+0.5*'Model'!$P13*POWER(17-'Methodology'!$B$8,2))))</x:f>
        <x:v>0.6921434187376858</x:v>
      </x:c>
      <x:c r="AL13" s="46" t="n">
        <x:f>IF(OR(AK13="",AI13=""),"",AK13-AI13)</x:f>
        <x:v>0.025582448302079563</x:v>
      </x:c>
      <x:c r="AM13" s="46" t="n">
        <x:f>IF('Model'!$D13=0,"",1-POWER(2,-MAX('Model'!$M13,'Model'!$M13+'Model'!$N13*(18-'Methodology'!$B$8)+0.5*'Model'!$P13*POWER(18-'Methodology'!$B$8,2))))</x:f>
        <x:v>0.7157631044262119</x:v>
      </x:c>
      <x:c r="AN13" s="46" t="n">
        <x:f>IF(OR(AM13="",AK13=""),"",AM13-AK13)</x:f>
        <x:v>0.023619685688526126</x:v>
      </x:c>
      <x:c r="AO13" s="46" t="n">
        <x:f>IF('Model'!$D13=0,"",1-POWER(2,-MAX('Model'!$M13,'Model'!$M13+'Model'!$N13*(19-'Methodology'!$B$8)+0.5*'Model'!$P13*POWER(19-'Methodology'!$B$8,2))))</x:f>
        <x:v>0.7375706165703648</x:v>
      </x:c>
      <x:c r="AP13" s="46" t="n">
        <x:f>IF(OR(AO13="",AM13=""),"",AO13-AM13)</x:f>
        <x:v>0.021807512144152885</x:v>
      </x:c>
      <x:c r="AQ13" s="46" t="n">
        <x:f>IF('Model'!$D13=0,"",1-POWER(2,-MAX('Model'!$M13,'Model'!$M13+'Model'!$N13*(20-'Methodology'!$B$8)+0.5*'Model'!$P13*POWER(20-'Methodology'!$B$8,2))))</x:f>
        <x:v>0.7577049905916242</x:v>
      </x:c>
      <x:c r="AR13" s="46" t="n">
        <x:f>IF(OR(AQ13="",AO13=""),"",AQ13-AO13)</x:f>
        <x:v>0.020134374021259394</x:v>
      </x:c>
      <x:c r="AS13" s="24" t="n">
        <x:f>IF('Model'!$D13=0,"",Y13)</x:f>
        <x:v>0.503</x:v>
      </x:c>
      <x:c r="AT13" s="17" t="str">
        <x:f>'Model'!S13</x:f>
        <x:v>F</x:v>
      </x:c>
      <x:c r="AU13" s="26" t="n">
        <x:f>IF('Model'!$D13=0,"",'Model'!T13)</x:f>
        <x:v>0</x:v>
      </x:c>
      <x:c r="AV13" s="26" t="n">
        <x:f>IFERROR((AVERAGEIF($A$6:$A$28,"Direct economic stewardship",$AU$6:$AU$28)*'Summary'!$K$13+AVERAGEIF($A$6:$A$28,"Operational execution",$AU$6:$AU$28)*'Summary'!$K$14+AVERAGEIF($A$6:$A$28,"Personal stewardship transfer",$AU$6:$AU$28)*'Summary'!$K$15+AVERAGEIF($A$6:$A$28,"Economic value &amp; governance",$AU$6:$AU$28)*'Summary'!$K$16)/SUM('Summary'!$K$13:$K$16),"")</x:f>
        <x:v>0.6336477987421384</x:v>
      </x:c>
      <x:c r="AW13" s="25" t="n">
        <x:f>'Model'!N13</x:f>
        <x:v>0.11516457356978227</x:v>
      </x:c>
      <x:c r="AX13" s="25" t="n">
        <x:f>'Model'!P13</x:f>
        <x:v>0</x:v>
      </x:c>
      <x:c r="AY13" s="17" t="str">
        <x:f>'Model'!Q13</x:f>
        <x:v>Constant velocity — two observations</x:v>
      </x:c>
    </x:row>
    <x:row r="14" ht="46" hidden="0" customHeight="1">
      <x:c r="A14" s="17" t="str">
        <x:v>Operational execution</x:v>
      </x:c>
      <x:c r="B14" s="17" t="str">
        <x:v>OPS-02</x:v>
      </x:c>
      <x:c r="C14" s="17" t="str">
        <x:v>EnterpriseOps-Gym</x:v>
      </x:c>
      <x:c r="D14" s="17" t="str">
        <x:v>Strict task success across enterprise workflows</x:v>
      </x:c>
      <x:c r="E14" s="44" t="str">
        <x:f>IF(COUNTIFS('Observations'!$A$6:$A$500,$B14,'Observations'!$F$6:$F$500,"&lt;="&amp;1)=0,"",SUMIFS('Observations'!$G$6:$G$500,'Observations'!$A$6:$A$500,$B14,'Observations'!$F$6:$F$500,MAXIFS('Observations'!$F$6:$F$500,'Observations'!$A$6:$A$500,$B14,'Observations'!$F$6:$F$500,"&lt;="&amp;1)))</x:f>
      </x:c>
      <x:c r="F14" s="44" t="str">
        <x:f>""</x:f>
      </x:c>
      <x:c r="G14" s="44" t="str">
        <x:f>IF(COUNTIFS('Observations'!$A$6:$A$500,$B14,'Observations'!$F$6:$F$500,"&lt;="&amp;2)=0,"",SUMIFS('Observations'!$G$6:$G$500,'Observations'!$A$6:$A$500,$B14,'Observations'!$F$6:$F$500,MAXIFS('Observations'!$F$6:$F$500,'Observations'!$A$6:$A$500,$B14,'Observations'!$F$6:$F$500,"&lt;="&amp;2)))</x:f>
      </x:c>
      <x:c r="H14" s="44" t="str">
        <x:f>IF(OR(G14="",E14=""),"",G14-E14)</x:f>
      </x:c>
      <x:c r="I14" s="44" t="str">
        <x:f>IF(COUNTIFS('Observations'!$A$6:$A$500,$B14,'Observations'!$F$6:$F$500,"&lt;="&amp;3)=0,"",SUMIFS('Observations'!$G$6:$G$500,'Observations'!$A$6:$A$500,$B14,'Observations'!$F$6:$F$500,MAXIFS('Observations'!$F$6:$F$500,'Observations'!$A$6:$A$500,$B14,'Observations'!$F$6:$F$500,"&lt;="&amp;3)))</x:f>
      </x:c>
      <x:c r="J14" s="44" t="str">
        <x:f>IF(OR(I14="",G14=""),"",I14-G14)</x:f>
      </x:c>
      <x:c r="K14" s="44" t="str">
        <x:f>IF(COUNTIFS('Observations'!$A$6:$A$500,$B14,'Observations'!$F$6:$F$500,"&lt;="&amp;4)=0,"",SUMIFS('Observations'!$G$6:$G$500,'Observations'!$A$6:$A$500,$B14,'Observations'!$F$6:$F$500,MAXIFS('Observations'!$F$6:$F$500,'Observations'!$A$6:$A$500,$B14,'Observations'!$F$6:$F$500,"&lt;="&amp;4)))</x:f>
      </x:c>
      <x:c r="L14" s="44" t="str">
        <x:f>IF(OR(K14="",I14=""),"",K14-I14)</x:f>
      </x:c>
      <x:c r="M14" s="44" t="str">
        <x:f>IF(COUNTIFS('Observations'!$A$6:$A$500,$B14,'Observations'!$F$6:$F$500,"&lt;="&amp;5)=0,"",SUMIFS('Observations'!$G$6:$G$500,'Observations'!$A$6:$A$500,$B14,'Observations'!$F$6:$F$500,MAXIFS('Observations'!$F$6:$F$500,'Observations'!$A$6:$A$500,$B14,'Observations'!$F$6:$F$500,"&lt;="&amp;5)))</x:f>
      </x:c>
      <x:c r="N14" s="44" t="str">
        <x:f>IF(OR(M14="",K14=""),"",M14-K14)</x:f>
      </x:c>
      <x:c r="O14" s="45" t="n">
        <x:f>IF(COUNTIFS('Observations'!$A$6:$A$500,$B14,'Observations'!$F$6:$F$500,"&lt;="&amp;6)=0,"",SUMIFS('Observations'!$G$6:$G$500,'Observations'!$A$6:$A$500,$B14,'Observations'!$F$6:$F$500,MAXIFS('Observations'!$F$6:$F$500,'Observations'!$A$6:$A$500,$B14,'Observations'!$F$6:$F$500,"&lt;="&amp;6)))</x:f>
        <x:v>0.2</x:v>
      </x:c>
      <x:c r="P14" s="45" t="str">
        <x:f>IF(OR(O14="",M14=""),"",O14-M14)</x:f>
      </x:c>
      <x:c r="Q14" s="45" t="n">
        <x:f>IF(COUNTIFS('Observations'!$A$6:$A$500,$B14,'Observations'!$F$6:$F$500,"&lt;="&amp;7)=0,"",SUMIFS('Observations'!$G$6:$G$500,'Observations'!$A$6:$A$500,$B14,'Observations'!$F$6:$F$500,MAXIFS('Observations'!$F$6:$F$500,'Observations'!$A$6:$A$500,$B14,'Observations'!$F$6:$F$500,"&lt;="&amp;7)))</x:f>
        <x:v>0.341</x:v>
      </x:c>
      <x:c r="R14" s="45" t="n">
        <x:f>IF(OR(Q14="",O14=""),"",Q14-O14)</x:f>
        <x:v>0.14100000000000001</x:v>
      </x:c>
      <x:c r="S14" s="45" t="n">
        <x:f>IF(COUNTIFS('Observations'!$A$6:$A$500,$B14,'Observations'!$F$6:$F$500,"&lt;="&amp;8)=0,"",SUMIFS('Observations'!$G$6:$G$500,'Observations'!$A$6:$A$500,$B14,'Observations'!$F$6:$F$500,MAXIFS('Observations'!$F$6:$F$500,'Observations'!$A$6:$A$500,$B14,'Observations'!$F$6:$F$500,"&lt;="&amp;8)))</x:f>
        <x:v>0.394</x:v>
      </x:c>
      <x:c r="T14" s="45" t="n">
        <x:f>IF(OR(S14="",Q14=""),"",S14-Q14)</x:f>
        <x:v>0.05299999999999999</x:v>
      </x:c>
      <x:c r="U14" s="45" t="n">
        <x:f>IF(COUNTIFS('Observations'!$A$6:$A$500,$B14,'Observations'!$F$6:$F$500,"&lt;="&amp;9)=0,"",SUMIFS('Observations'!$G$6:$G$500,'Observations'!$A$6:$A$500,$B14,'Observations'!$F$6:$F$500,MAXIFS('Observations'!$F$6:$F$500,'Observations'!$A$6:$A$500,$B14,'Observations'!$F$6:$F$500,"&lt;="&amp;9)))</x:f>
        <x:v>0.459</x:v>
      </x:c>
      <x:c r="V14" s="45" t="n">
        <x:f>IF(OR(U14="",S14=""),"",U14-S14)</x:f>
        <x:v>0.065</x:v>
      </x:c>
      <x:c r="W14" s="44" t="n">
        <x:f>IF(COUNTIFS('Observations'!$A$6:$A$500,$B14,'Observations'!$F$6:$F$500,"&lt;="&amp;10)=0,"",SUMIFS('Observations'!$G$6:$G$500,'Observations'!$A$6:$A$500,$B14,'Observations'!$F$6:$F$500,MAXIFS('Observations'!$F$6:$F$500,'Observations'!$A$6:$A$500,$B14,'Observations'!$F$6:$F$500,"&lt;="&amp;10)))</x:f>
        <x:v>0.459</x:v>
      </x:c>
      <x:c r="X14" s="44" t="n">
        <x:f>IF(OR(W14="",U14=""),"",W14-U14)</x:f>
        <x:v>0</x:v>
      </x:c>
      <x:c r="Y14" s="45" t="n">
        <x:f>IF(COUNTIFS('Observations'!$A$6:$A$500,$B14,'Observations'!$F$6:$F$500,"&lt;="&amp;11)=0,"",SUMIFS('Observations'!$G$6:$G$500,'Observations'!$A$6:$A$500,$B14,'Observations'!$F$6:$F$500,MAXIFS('Observations'!$F$6:$F$500,'Observations'!$A$6:$A$500,$B14,'Observations'!$F$6:$F$500,"&lt;="&amp;11)))</x:f>
        <x:v>0.511</x:v>
      </x:c>
      <x:c r="Z14" s="45" t="n">
        <x:f>IF(OR(Y14="",W14=""),"",Y14-W14)</x:f>
        <x:v>0.05199999999999999</x:v>
      </x:c>
      <x:c r="AA14" s="46" t="n">
        <x:f>IF('Model'!$D14=0,"",1-POWER(2,-MAX('Model'!$M14,'Model'!$M14+'Model'!$N14*(12-'Methodology'!$B$8)+0.5*'Model'!$P14*POWER(12-'Methodology'!$B$8,2))))</x:f>
        <x:v>0.5252389939287958</x:v>
      </x:c>
      <x:c r="AB14" s="46" t="n">
        <x:f>IF(OR(AA14="",Y14=""),"",AA14-Y14)</x:f>
        <x:v>0.014238993928795796</x:v>
      </x:c>
      <x:c r="AC14" s="46" t="n">
        <x:f>IF('Model'!$D14=0,"",1-POWER(2,-MAX('Model'!$M14,'Model'!$M14+'Model'!$N14*(13-'Methodology'!$B$8)+0.5*'Model'!$P14*POWER(13-'Methodology'!$B$8,2))))</x:f>
        <x:v>0.5193134232385967</x:v>
      </x:c>
      <x:c r="AD14" s="46" t="n">
        <x:f>IF(OR(AC14="",AA14=""),"",AC14-AA14)</x:f>
        <x:v>-0.005925570690199056</x:v>
      </x:c>
      <x:c r="AE14" s="46" t="n">
        <x:f>IF('Model'!$D14=0,"",1-POWER(2,-MAX('Model'!$M14,'Model'!$M14+'Model'!$N14*(14-'Methodology'!$B$8)+0.5*'Model'!$P14*POWER(14-'Methodology'!$B$8,2))))</x:f>
        <x:v>0.511</x:v>
      </x:c>
      <x:c r="AF14" s="46" t="n">
        <x:f>IF(OR(AE14="",AC14=""),"",AE14-AC14)</x:f>
        <x:v>-0.00831342323859674</x:v>
      </x:c>
      <x:c r="AG14" s="46" t="n">
        <x:f>IF('Model'!$D14=0,"",1-POWER(2,-MAX('Model'!$M14,'Model'!$M14+'Model'!$N14*(15-'Methodology'!$B$8)+0.5*'Model'!$P14*POWER(15-'Methodology'!$B$8,2))))</x:f>
        <x:v>0.511</x:v>
      </x:c>
      <x:c r="AH14" s="46" t="n">
        <x:f>IF(OR(AG14="",AE14=""),"",AG14-AE14)</x:f>
        <x:v>0</x:v>
      </x:c>
      <x:c r="AI14" s="46" t="n">
        <x:f>IF('Model'!$D14=0,"",1-POWER(2,-MAX('Model'!$M14,'Model'!$M14+'Model'!$N14*(16-'Methodology'!$B$8)+0.5*'Model'!$P14*POWER(16-'Methodology'!$B$8,2))))</x:f>
        <x:v>0.511</x:v>
      </x:c>
      <x:c r="AJ14" s="46" t="n">
        <x:f>IF(OR(AI14="",AG14=""),"",AI14-AG14)</x:f>
        <x:v>0</x:v>
      </x:c>
      <x:c r="AK14" s="46" t="n">
        <x:f>IF('Model'!$D14=0,"",1-POWER(2,-MAX('Model'!$M14,'Model'!$M14+'Model'!$N14*(17-'Methodology'!$B$8)+0.5*'Model'!$P14*POWER(17-'Methodology'!$B$8,2))))</x:f>
        <x:v>0.511</x:v>
      </x:c>
      <x:c r="AL14" s="46" t="n">
        <x:f>IF(OR(AK14="",AI14=""),"",AK14-AI14)</x:f>
        <x:v>0</x:v>
      </x:c>
      <x:c r="AM14" s="46" t="n">
        <x:f>IF('Model'!$D14=0,"",1-POWER(2,-MAX('Model'!$M14,'Model'!$M14+'Model'!$N14*(18-'Methodology'!$B$8)+0.5*'Model'!$P14*POWER(18-'Methodology'!$B$8,2))))</x:f>
        <x:v>0.511</x:v>
      </x:c>
      <x:c r="AN14" s="46" t="n">
        <x:f>IF(OR(AM14="",AK14=""),"",AM14-AK14)</x:f>
        <x:v>0</x:v>
      </x:c>
      <x:c r="AO14" s="46" t="n">
        <x:f>IF('Model'!$D14=0,"",1-POWER(2,-MAX('Model'!$M14,'Model'!$M14+'Model'!$N14*(19-'Methodology'!$B$8)+0.5*'Model'!$P14*POWER(19-'Methodology'!$B$8,2))))</x:f>
        <x:v>0.511</x:v>
      </x:c>
      <x:c r="AP14" s="46" t="n">
        <x:f>IF(OR(AO14="",AM14=""),"",AO14-AM14)</x:f>
        <x:v>0</x:v>
      </x:c>
      <x:c r="AQ14" s="46" t="n">
        <x:f>IF('Model'!$D14=0,"",1-POWER(2,-MAX('Model'!$M14,'Model'!$M14+'Model'!$N14*(20-'Methodology'!$B$8)+0.5*'Model'!$P14*POWER(20-'Methodology'!$B$8,2))))</x:f>
        <x:v>0.511</x:v>
      </x:c>
      <x:c r="AR14" s="46" t="n">
        <x:f>IF(OR(AQ14="",AO14=""),"",AQ14-AO14)</x:f>
        <x:v>0</x:v>
      </x:c>
      <x:c r="AS14" s="24" t="n">
        <x:f>IF('Model'!$D14=0,"",Y14)</x:f>
        <x:v>0.511</x:v>
      </x:c>
      <x:c r="AT14" s="17" t="str">
        <x:f>'Model'!S14</x:f>
        <x:v>F</x:v>
      </x:c>
      <x:c r="AU14" s="26" t="n">
        <x:f>IF('Model'!$D14=0,"",'Model'!T14)</x:f>
        <x:v>0</x:v>
      </x:c>
      <x:c r="AV14" s="26" t="n">
        <x:f>IFERROR((AVERAGEIF($A$6:$A$28,"Direct economic stewardship",$AU$6:$AU$28)*'Summary'!$K$13+AVERAGEIF($A$6:$A$28,"Operational execution",$AU$6:$AU$28)*'Summary'!$K$14+AVERAGEIF($A$6:$A$28,"Personal stewardship transfer",$AU$6:$AU$28)*'Summary'!$K$15+AVERAGEIF($A$6:$A$28,"Economic value &amp; governance",$AU$6:$AU$28)*'Summary'!$K$16)/SUM('Summary'!$K$13:$K$16),"")</x:f>
        <x:v>0.6336477987421384</x:v>
      </x:c>
      <x:c r="AW14" s="25" t="n">
        <x:f>'Model'!N14</x:f>
        <x:v>0.0728970644372906</x:v>
      </x:c>
      <x:c r="AX14" s="25" t="n">
        <x:f>'Model'!P14</x:f>
        <x:v>-0.06052809013923022</x:v>
      </x:c>
      <x:c r="AY14" s="17" t="str">
        <x:f>'Model'!Q14</x:f>
        <x:v>Velocity + acceleration — latest three observations</x:v>
      </x:c>
    </x:row>
    <x:row r="15" ht="46" hidden="0" customHeight="1">
      <x:c r="A15" s="17" t="str">
        <x:v>Operational execution</x:v>
      </x:c>
      <x:c r="B15" s="17" t="str">
        <x:v>OPS-03</x:v>
      </x:c>
      <x:c r="C15" s="17" t="str">
        <x:v>Commerce Agent Bench</x:v>
      </x:c>
      <x:c r="D15" s="17" t="str">
        <x:v>Pi-harness full-suite pass rate</x:v>
      </x:c>
      <x:c r="E15" s="44" t="str">
        <x:f>IF(COUNTIFS('Observations'!$A$6:$A$500,$B15,'Observations'!$F$6:$F$500,"&lt;="&amp;1)=0,"",SUMIFS('Observations'!$G$6:$G$500,'Observations'!$A$6:$A$500,$B15,'Observations'!$F$6:$F$500,MAXIFS('Observations'!$F$6:$F$500,'Observations'!$A$6:$A$500,$B15,'Observations'!$F$6:$F$500,"&lt;="&amp;1)))</x:f>
      </x:c>
      <x:c r="F15" s="44" t="str">
        <x:f>""</x:f>
      </x:c>
      <x:c r="G15" s="44" t="str">
        <x:f>IF(COUNTIFS('Observations'!$A$6:$A$500,$B15,'Observations'!$F$6:$F$500,"&lt;="&amp;2)=0,"",SUMIFS('Observations'!$G$6:$G$500,'Observations'!$A$6:$A$500,$B15,'Observations'!$F$6:$F$500,MAXIFS('Observations'!$F$6:$F$500,'Observations'!$A$6:$A$500,$B15,'Observations'!$F$6:$F$500,"&lt;="&amp;2)))</x:f>
      </x:c>
      <x:c r="H15" s="44" t="str">
        <x:f>IF(OR(G15="",E15=""),"",G15-E15)</x:f>
      </x:c>
      <x:c r="I15" s="44" t="str">
        <x:f>IF(COUNTIFS('Observations'!$A$6:$A$500,$B15,'Observations'!$F$6:$F$500,"&lt;="&amp;3)=0,"",SUMIFS('Observations'!$G$6:$G$500,'Observations'!$A$6:$A$500,$B15,'Observations'!$F$6:$F$500,MAXIFS('Observations'!$F$6:$F$500,'Observations'!$A$6:$A$500,$B15,'Observations'!$F$6:$F$500,"&lt;="&amp;3)))</x:f>
      </x:c>
      <x:c r="J15" s="44" t="str">
        <x:f>IF(OR(I15="",G15=""),"",I15-G15)</x:f>
      </x:c>
      <x:c r="K15" s="44" t="str">
        <x:f>IF(COUNTIFS('Observations'!$A$6:$A$500,$B15,'Observations'!$F$6:$F$500,"&lt;="&amp;4)=0,"",SUMIFS('Observations'!$G$6:$G$500,'Observations'!$A$6:$A$500,$B15,'Observations'!$F$6:$F$500,MAXIFS('Observations'!$F$6:$F$500,'Observations'!$A$6:$A$500,$B15,'Observations'!$F$6:$F$500,"&lt;="&amp;4)))</x:f>
      </x:c>
      <x:c r="L15" s="44" t="str">
        <x:f>IF(OR(K15="",I15=""),"",K15-I15)</x:f>
      </x:c>
      <x:c r="M15" s="44" t="str">
        <x:f>IF(COUNTIFS('Observations'!$A$6:$A$500,$B15,'Observations'!$F$6:$F$500,"&lt;="&amp;5)=0,"",SUMIFS('Observations'!$G$6:$G$500,'Observations'!$A$6:$A$500,$B15,'Observations'!$F$6:$F$500,MAXIFS('Observations'!$F$6:$F$500,'Observations'!$A$6:$A$500,$B15,'Observations'!$F$6:$F$500,"&lt;="&amp;5)))</x:f>
      </x:c>
      <x:c r="N15" s="44" t="str">
        <x:f>IF(OR(M15="",K15=""),"",M15-K15)</x:f>
      </x:c>
      <x:c r="O15" s="44" t="str">
        <x:f>IF(COUNTIFS('Observations'!$A$6:$A$500,$B15,'Observations'!$F$6:$F$500,"&lt;="&amp;6)=0,"",SUMIFS('Observations'!$G$6:$G$500,'Observations'!$A$6:$A$500,$B15,'Observations'!$F$6:$F$500,MAXIFS('Observations'!$F$6:$F$500,'Observations'!$A$6:$A$500,$B15,'Observations'!$F$6:$F$500,"&lt;="&amp;6)))</x:f>
      </x:c>
      <x:c r="P15" s="44" t="str">
        <x:f>IF(OR(O15="",M15=""),"",O15-M15)</x:f>
      </x:c>
      <x:c r="Q15" s="44" t="str">
        <x:f>IF(COUNTIFS('Observations'!$A$6:$A$500,$B15,'Observations'!$F$6:$F$500,"&lt;="&amp;7)=0,"",SUMIFS('Observations'!$G$6:$G$500,'Observations'!$A$6:$A$500,$B15,'Observations'!$F$6:$F$500,MAXIFS('Observations'!$F$6:$F$500,'Observations'!$A$6:$A$500,$B15,'Observations'!$F$6:$F$500,"&lt;="&amp;7)))</x:f>
      </x:c>
      <x:c r="R15" s="44" t="str">
        <x:f>IF(OR(Q15="",O15=""),"",Q15-O15)</x:f>
      </x:c>
      <x:c r="S15" s="45" t="n">
        <x:f>IF(COUNTIFS('Observations'!$A$6:$A$500,$B15,'Observations'!$F$6:$F$500,"&lt;="&amp;8)=0,"",SUMIFS('Observations'!$G$6:$G$500,'Observations'!$A$6:$A$500,$B15,'Observations'!$F$6:$F$500,MAXIFS('Observations'!$F$6:$F$500,'Observations'!$A$6:$A$500,$B15,'Observations'!$F$6:$F$500,"&lt;="&amp;8)))</x:f>
        <x:v>0.29</x:v>
      </x:c>
      <x:c r="T15" s="45" t="str">
        <x:f>IF(OR(S15="",Q15=""),"",S15-Q15)</x:f>
      </x:c>
      <x:c r="U15" s="44" t="n">
        <x:f>IF(COUNTIFS('Observations'!$A$6:$A$500,$B15,'Observations'!$F$6:$F$500,"&lt;="&amp;9)=0,"",SUMIFS('Observations'!$G$6:$G$500,'Observations'!$A$6:$A$500,$B15,'Observations'!$F$6:$F$500,MAXIFS('Observations'!$F$6:$F$500,'Observations'!$A$6:$A$500,$B15,'Observations'!$F$6:$F$500,"&lt;="&amp;9)))</x:f>
        <x:v>0.29</x:v>
      </x:c>
      <x:c r="V15" s="44" t="n">
        <x:f>IF(OR(U15="",S15=""),"",U15-S15)</x:f>
        <x:v>0</x:v>
      </x:c>
      <x:c r="W15" s="45" t="n">
        <x:f>IF(COUNTIFS('Observations'!$A$6:$A$500,$B15,'Observations'!$F$6:$F$500,"&lt;="&amp;10)=0,"",SUMIFS('Observations'!$G$6:$G$500,'Observations'!$A$6:$A$500,$B15,'Observations'!$F$6:$F$500,MAXIFS('Observations'!$F$6:$F$500,'Observations'!$A$6:$A$500,$B15,'Observations'!$F$6:$F$500,"&lt;="&amp;10)))</x:f>
        <x:v>0.523</x:v>
      </x:c>
      <x:c r="X15" s="45" t="n">
        <x:f>IF(OR(W15="",U15=""),"",W15-U15)</x:f>
        <x:v>0.23300000000000004</x:v>
      </x:c>
      <x:c r="Y15" s="45" t="n">
        <x:f>IF(COUNTIFS('Observations'!$A$6:$A$500,$B15,'Observations'!$F$6:$F$500,"&lt;="&amp;11)=0,"",SUMIFS('Observations'!$G$6:$G$500,'Observations'!$A$6:$A$500,$B15,'Observations'!$F$6:$F$500,MAXIFS('Observations'!$F$6:$F$500,'Observations'!$A$6:$A$500,$B15,'Observations'!$F$6:$F$500,"&lt;="&amp;11)))</x:f>
        <x:v>0.607</x:v>
      </x:c>
      <x:c r="Z15" s="45" t="n">
        <x:f>IF(OR(Y15="",W15=""),"",Y15-W15)</x:f>
        <x:v>0.08399999999999996</x:v>
      </x:c>
      <x:c r="AA15" s="46" t="n">
        <x:f>IF('Model'!$D15=0,"",1-POWER(2,-MAX('Model'!$M15,'Model'!$M15+'Model'!$N15*(12-'Methodology'!$B$8)+0.5*'Model'!$P15*POWER(12-'Methodology'!$B$8,2))))</x:f>
        <x:v>0.6756493491231983</x:v>
      </x:c>
      <x:c r="AB15" s="46" t="n">
        <x:f>IF(OR(AA15="",Y15=""),"",AA15-Y15)</x:f>
        <x:v>0.06864934912319831</x:v>
      </x:c>
      <x:c r="AC15" s="46" t="n">
        <x:f>IF('Model'!$D15=0,"",1-POWER(2,-MAX('Model'!$M15,'Model'!$M15+'Model'!$N15*(13-'Methodology'!$B$8)+0.5*'Model'!$P15*POWER(13-'Methodology'!$B$8,2))))</x:f>
        <x:v>0.7313832431847436</x:v>
      </x:c>
      <x:c r="AD15" s="46" t="n">
        <x:f>IF(OR(AC15="",AA15=""),"",AC15-AA15)</x:f>
        <x:v>0.055733894061545275</x:v>
      </x:c>
      <x:c r="AE15" s="46" t="n">
        <x:f>IF('Model'!$D15=0,"",1-POWER(2,-MAX('Model'!$M15,'Model'!$M15+'Model'!$N15*(14-'Methodology'!$B$8)+0.5*'Model'!$P15*POWER(14-'Methodology'!$B$8,2))))</x:f>
        <x:v>0.7767725835602166</x:v>
      </x:c>
      <x:c r="AF15" s="46" t="n">
        <x:f>IF(OR(AE15="",AC15=""),"",AE15-AC15)</x:f>
        <x:v>0.04538934037547304</x:v>
      </x:c>
      <x:c r="AG15" s="46" t="n">
        <x:f>IF('Model'!$D15=0,"",1-POWER(2,-MAX('Model'!$M15,'Model'!$M15+'Model'!$N15*(15-'Methodology'!$B$8)+0.5*'Model'!$P15*POWER(15-'Methodology'!$B$8,2))))</x:f>
        <x:v>0.813852131076838</x:v>
      </x:c>
      <x:c r="AH15" s="46" t="n">
        <x:f>IF(OR(AG15="",AE15=""),"",AG15-AE15)</x:f>
        <x:v>0.03707954751662135</x:v>
      </x:c>
      <x:c r="AI15" s="46" t="n">
        <x:f>IF('Model'!$D15=0,"",1-POWER(2,-MAX('Model'!$M15,'Model'!$M15+'Model'!$N15*(16-'Methodology'!$B$8)+0.5*'Model'!$P15*POWER(16-'Methodology'!$B$8,2))))</x:f>
        <x:v>0.8442368546032146</x:v>
      </x:c>
      <x:c r="AJ15" s="46" t="n">
        <x:f>IF(OR(AI15="",AG15=""),"",AI15-AG15)</x:f>
        <x:v>0.030384723526376667</x:v>
      </x:c>
      <x:c r="AK15" s="46" t="n">
        <x:f>IF('Model'!$D15=0,"",1-POWER(2,-MAX('Model'!$M15,'Model'!$M15+'Model'!$N15*(17-'Methodology'!$B$8)+0.5*'Model'!$P15*POWER(17-'Methodology'!$B$8,2))))</x:f>
        <x:v>0.8692121343567735</x:v>
      </x:c>
      <x:c r="AL15" s="46" t="n">
        <x:f>IF(OR(AK15="",AI15=""),"",AK15-AI15)</x:f>
        <x:v>0.024975279753558843</x:v>
      </x:c>
      <x:c r="AM15" s="46" t="n">
        <x:f>IF('Model'!$D15=0,"",1-POWER(2,-MAX('Model'!$M15,'Model'!$M15+'Model'!$N15*(18-'Methodology'!$B$8)+0.5*'Model'!$P15*POWER(18-'Methodology'!$B$8,2))))</x:f>
        <x:v>0.8898038806901376</x:v>
      </x:c>
      <x:c r="AN15" s="46" t="n">
        <x:f>IF(OR(AM15="",AK15=""),"",AM15-AK15)</x:f>
        <x:v>0.020591746333364136</x:v>
      </x:c>
      <x:c r="AO15" s="46" t="n">
        <x:f>IF('Model'!$D15=0,"",1-POWER(2,-MAX('Model'!$M15,'Model'!$M15+'Model'!$N15*(19-'Methodology'!$B$8)+0.5*'Model'!$P15*POWER(19-'Methodology'!$B$8,2))))</x:f>
        <x:v>0.9068331841779688</x:v>
      </x:c>
      <x:c r="AP15" s="46" t="n">
        <x:f>IF(OR(AO15="",AM15=""),"",AO15-AM15)</x:f>
        <x:v>0.01702930348783116</x:v>
      </x:c>
      <x:c r="AQ15" s="46" t="n">
        <x:f>IF('Model'!$D15=0,"",1-POWER(2,-MAX('Model'!$M15,'Model'!$M15+'Model'!$N15*(20-'Methodology'!$B$8)+0.5*'Model'!$P15*POWER(20-'Methodology'!$B$8,2))))</x:f>
        <x:v>0.9209590213026758</x:v>
      </x:c>
      <x:c r="AR15" s="46" t="n">
        <x:f>IF(OR(AQ15="",AO15=""),"",AQ15-AO15)</x:f>
        <x:v>0.014125837124707052</x:v>
      </x:c>
      <x:c r="AS15" s="24" t="n">
        <x:f>IF('Model'!$D15=0,"",Y15)</x:f>
        <x:v>0.607</x:v>
      </x:c>
      <x:c r="AT15" s="17" t="str">
        <x:f>'Model'!S15</x:f>
        <x:v>D</x:v>
      </x:c>
      <x:c r="AU15" s="26" t="n">
        <x:f>IF('Model'!$D15=0,"",'Model'!T15)</x:f>
        <x:v>1</x:v>
      </x:c>
      <x:c r="AV15" s="26" t="n">
        <x:f>IFERROR((AVERAGEIF($A$6:$A$28,"Direct economic stewardship",$AU$6:$AU$28)*'Summary'!$K$13+AVERAGEIF($A$6:$A$28,"Operational execution",$AU$6:$AU$28)*'Summary'!$K$14+AVERAGEIF($A$6:$A$28,"Personal stewardship transfer",$AU$6:$AU$28)*'Summary'!$K$15+AVERAGEIF($A$6:$A$28,"Economic value &amp; governance",$AU$6:$AU$28)*'Summary'!$K$16)/SUM('Summary'!$K$13:$K$16),"")</x:f>
        <x:v>0.6336477987421384</x:v>
      </x:c>
      <x:c r="AW15" s="25" t="n">
        <x:f>'Model'!N15</x:f>
        <x:v>0.2794599537469049</x:v>
      </x:c>
      <x:c r="AX15" s="25" t="n">
        <x:f>'Model'!P15</x:f>
        <x:v>-0.004969950297574337</x:v>
      </x:c>
      <x:c r="AY15" s="17" t="str">
        <x:f>'Model'!Q15</x:f>
        <x:v>Velocity + acceleration — latest three observations</x:v>
      </x:c>
    </x:row>
    <x:row r="16" ht="46" hidden="0" customHeight="1">
      <x:c r="A16" s="17" t="str">
        <x:v>Operational execution</x:v>
      </x:c>
      <x:c r="B16" s="17" t="str">
        <x:v>OPS-04</x:v>
      </x:c>
      <x:c r="C16" s="17" t="str">
        <x:v>ClawMark</x:v>
      </x:c>
      <x:c r="D16" s="17" t="str">
        <x:v>Avg@3 weighted deterministic-checker score</x:v>
      </x:c>
      <x:c r="E16" s="44" t="str">
        <x:f>IF(COUNTIFS('Observations'!$A$6:$A$500,$B16,'Observations'!$F$6:$F$500,"&lt;="&amp;1)=0,"",SUMIFS('Observations'!$G$6:$G$500,'Observations'!$A$6:$A$500,$B16,'Observations'!$F$6:$F$500,MAXIFS('Observations'!$F$6:$F$500,'Observations'!$A$6:$A$500,$B16,'Observations'!$F$6:$F$500,"&lt;="&amp;1)))</x:f>
      </x:c>
      <x:c r="F16" s="44" t="str">
        <x:f>""</x:f>
      </x:c>
      <x:c r="G16" s="44" t="str">
        <x:f>IF(COUNTIFS('Observations'!$A$6:$A$500,$B16,'Observations'!$F$6:$F$500,"&lt;="&amp;2)=0,"",SUMIFS('Observations'!$G$6:$G$500,'Observations'!$A$6:$A$500,$B16,'Observations'!$F$6:$F$500,MAXIFS('Observations'!$F$6:$F$500,'Observations'!$A$6:$A$500,$B16,'Observations'!$F$6:$F$500,"&lt;="&amp;2)))</x:f>
      </x:c>
      <x:c r="H16" s="44" t="str">
        <x:f>IF(OR(G16="",E16=""),"",G16-E16)</x:f>
      </x:c>
      <x:c r="I16" s="44" t="str">
        <x:f>IF(COUNTIFS('Observations'!$A$6:$A$500,$B16,'Observations'!$F$6:$F$500,"&lt;="&amp;3)=0,"",SUMIFS('Observations'!$G$6:$G$500,'Observations'!$A$6:$A$500,$B16,'Observations'!$F$6:$F$500,MAXIFS('Observations'!$F$6:$F$500,'Observations'!$A$6:$A$500,$B16,'Observations'!$F$6:$F$500,"&lt;="&amp;3)))</x:f>
      </x:c>
      <x:c r="J16" s="44" t="str">
        <x:f>IF(OR(I16="",G16=""),"",I16-G16)</x:f>
      </x:c>
      <x:c r="K16" s="44" t="str">
        <x:f>IF(COUNTIFS('Observations'!$A$6:$A$500,$B16,'Observations'!$F$6:$F$500,"&lt;="&amp;4)=0,"",SUMIFS('Observations'!$G$6:$G$500,'Observations'!$A$6:$A$500,$B16,'Observations'!$F$6:$F$500,MAXIFS('Observations'!$F$6:$F$500,'Observations'!$A$6:$A$500,$B16,'Observations'!$F$6:$F$500,"&lt;="&amp;4)))</x:f>
      </x:c>
      <x:c r="L16" s="44" t="str">
        <x:f>IF(OR(K16="",I16=""),"",K16-I16)</x:f>
      </x:c>
      <x:c r="M16" s="44" t="str">
        <x:f>IF(COUNTIFS('Observations'!$A$6:$A$500,$B16,'Observations'!$F$6:$F$500,"&lt;="&amp;5)=0,"",SUMIFS('Observations'!$G$6:$G$500,'Observations'!$A$6:$A$500,$B16,'Observations'!$F$6:$F$500,MAXIFS('Observations'!$F$6:$F$500,'Observations'!$A$6:$A$500,$B16,'Observations'!$F$6:$F$500,"&lt;="&amp;5)))</x:f>
      </x:c>
      <x:c r="N16" s="44" t="str">
        <x:f>IF(OR(M16="",K16=""),"",M16-K16)</x:f>
      </x:c>
      <x:c r="O16" s="44" t="str">
        <x:f>IF(COUNTIFS('Observations'!$A$6:$A$500,$B16,'Observations'!$F$6:$F$500,"&lt;="&amp;6)=0,"",SUMIFS('Observations'!$G$6:$G$500,'Observations'!$A$6:$A$500,$B16,'Observations'!$F$6:$F$500,MAXIFS('Observations'!$F$6:$F$500,'Observations'!$A$6:$A$500,$B16,'Observations'!$F$6:$F$500,"&lt;="&amp;6)))</x:f>
      </x:c>
      <x:c r="P16" s="44" t="str">
        <x:f>IF(OR(O16="",M16=""),"",O16-M16)</x:f>
      </x:c>
      <x:c r="Q16" s="44" t="str">
        <x:f>IF(COUNTIFS('Observations'!$A$6:$A$500,$B16,'Observations'!$F$6:$F$500,"&lt;="&amp;7)=0,"",SUMIFS('Observations'!$G$6:$G$500,'Observations'!$A$6:$A$500,$B16,'Observations'!$F$6:$F$500,MAXIFS('Observations'!$F$6:$F$500,'Observations'!$A$6:$A$500,$B16,'Observations'!$F$6:$F$500,"&lt;="&amp;7)))</x:f>
      </x:c>
      <x:c r="R16" s="44" t="str">
        <x:f>IF(OR(Q16="",O16=""),"",Q16-O16)</x:f>
      </x:c>
      <x:c r="S16" s="44" t="str">
        <x:f>IF(COUNTIFS('Observations'!$A$6:$A$500,$B16,'Observations'!$F$6:$F$500,"&lt;="&amp;8)=0,"",SUMIFS('Observations'!$G$6:$G$500,'Observations'!$A$6:$A$500,$B16,'Observations'!$F$6:$F$500,MAXIFS('Observations'!$F$6:$F$500,'Observations'!$A$6:$A$500,$B16,'Observations'!$F$6:$F$500,"&lt;="&amp;8)))</x:f>
      </x:c>
      <x:c r="T16" s="44" t="str">
        <x:f>IF(OR(S16="",Q16=""),"",S16-Q16)</x:f>
      </x:c>
      <x:c r="U16" s="45" t="n">
        <x:f>IF(COUNTIFS('Observations'!$A$6:$A$500,$B16,'Observations'!$F$6:$F$500,"&lt;="&amp;9)=0,"",SUMIFS('Observations'!$G$6:$G$500,'Observations'!$A$6:$A$500,$B16,'Observations'!$F$6:$F$500,MAXIFS('Observations'!$F$6:$F$500,'Observations'!$A$6:$A$500,$B16,'Observations'!$F$6:$F$500,"&lt;="&amp;9)))</x:f>
        <x:v>0.758</x:v>
      </x:c>
      <x:c r="V16" s="45" t="str">
        <x:f>IF(OR(U16="",S16=""),"",U16-S16)</x:f>
      </x:c>
      <x:c r="W16" s="44" t="n">
        <x:f>IF(COUNTIFS('Observations'!$A$6:$A$500,$B16,'Observations'!$F$6:$F$500,"&lt;="&amp;10)=0,"",SUMIFS('Observations'!$G$6:$G$500,'Observations'!$A$6:$A$500,$B16,'Observations'!$F$6:$F$500,MAXIFS('Observations'!$F$6:$F$500,'Observations'!$A$6:$A$500,$B16,'Observations'!$F$6:$F$500,"&lt;="&amp;10)))</x:f>
        <x:v>0.758</x:v>
      </x:c>
      <x:c r="X16" s="44" t="n">
        <x:f>IF(OR(W16="",U16=""),"",W16-U16)</x:f>
        <x:v>0</x:v>
      </x:c>
      <x:c r="Y16" s="44" t="n">
        <x:f>IF(COUNTIFS('Observations'!$A$6:$A$500,$B16,'Observations'!$F$6:$F$500,"&lt;="&amp;11)=0,"",SUMIFS('Observations'!$G$6:$G$500,'Observations'!$A$6:$A$500,$B16,'Observations'!$F$6:$F$500,MAXIFS('Observations'!$F$6:$F$500,'Observations'!$A$6:$A$500,$B16,'Observations'!$F$6:$F$500,"&lt;="&amp;11)))</x:f>
        <x:v>0.758</x:v>
      </x:c>
      <x:c r="Z16" s="44" t="n">
        <x:f>IF(OR(Y16="",W16=""),"",Y16-W16)</x:f>
        <x:v>0</x:v>
      </x:c>
      <x:c r="AA16" s="46" t="n">
        <x:f>IF('Model'!$D16=0,"",1-POWER(2,-MAX('Model'!$M16,'Model'!$M16+'Model'!$N16*(12-'Methodology'!$B$8)+0.5*'Model'!$P16*POWER(12-'Methodology'!$B$8,2))))</x:f>
        <x:v>0.758</x:v>
      </x:c>
      <x:c r="AB16" s="46" t="n">
        <x:f>IF(OR(AA16="",Y16=""),"",AA16-Y16)</x:f>
        <x:v>0</x:v>
      </x:c>
      <x:c r="AC16" s="46" t="n">
        <x:f>IF('Model'!$D16=0,"",1-POWER(2,-MAX('Model'!$M16,'Model'!$M16+'Model'!$N16*(13-'Methodology'!$B$8)+0.5*'Model'!$P16*POWER(13-'Methodology'!$B$8,2))))</x:f>
        <x:v>0.758</x:v>
      </x:c>
      <x:c r="AD16" s="46" t="n">
        <x:f>IF(OR(AC16="",AA16=""),"",AC16-AA16)</x:f>
        <x:v>0</x:v>
      </x:c>
      <x:c r="AE16" s="46" t="n">
        <x:f>IF('Model'!$D16=0,"",1-POWER(2,-MAX('Model'!$M16,'Model'!$M16+'Model'!$N16*(14-'Methodology'!$B$8)+0.5*'Model'!$P16*POWER(14-'Methodology'!$B$8,2))))</x:f>
        <x:v>0.758</x:v>
      </x:c>
      <x:c r="AF16" s="46" t="n">
        <x:f>IF(OR(AE16="",AC16=""),"",AE16-AC16)</x:f>
        <x:v>0</x:v>
      </x:c>
      <x:c r="AG16" s="46" t="n">
        <x:f>IF('Model'!$D16=0,"",1-POWER(2,-MAX('Model'!$M16,'Model'!$M16+'Model'!$N16*(15-'Methodology'!$B$8)+0.5*'Model'!$P16*POWER(15-'Methodology'!$B$8,2))))</x:f>
        <x:v>0.758</x:v>
      </x:c>
      <x:c r="AH16" s="46" t="n">
        <x:f>IF(OR(AG16="",AE16=""),"",AG16-AE16)</x:f>
        <x:v>0</x:v>
      </x:c>
      <x:c r="AI16" s="46" t="n">
        <x:f>IF('Model'!$D16=0,"",1-POWER(2,-MAX('Model'!$M16,'Model'!$M16+'Model'!$N16*(16-'Methodology'!$B$8)+0.5*'Model'!$P16*POWER(16-'Methodology'!$B$8,2))))</x:f>
        <x:v>0.758</x:v>
      </x:c>
      <x:c r="AJ16" s="46" t="n">
        <x:f>IF(OR(AI16="",AG16=""),"",AI16-AG16)</x:f>
        <x:v>0</x:v>
      </x:c>
      <x:c r="AK16" s="46" t="n">
        <x:f>IF('Model'!$D16=0,"",1-POWER(2,-MAX('Model'!$M16,'Model'!$M16+'Model'!$N16*(17-'Methodology'!$B$8)+0.5*'Model'!$P16*POWER(17-'Methodology'!$B$8,2))))</x:f>
        <x:v>0.758</x:v>
      </x:c>
      <x:c r="AL16" s="46" t="n">
        <x:f>IF(OR(AK16="",AI16=""),"",AK16-AI16)</x:f>
        <x:v>0</x:v>
      </x:c>
      <x:c r="AM16" s="46" t="n">
        <x:f>IF('Model'!$D16=0,"",1-POWER(2,-MAX('Model'!$M16,'Model'!$M16+'Model'!$N16*(18-'Methodology'!$B$8)+0.5*'Model'!$P16*POWER(18-'Methodology'!$B$8,2))))</x:f>
        <x:v>0.758</x:v>
      </x:c>
      <x:c r="AN16" s="46" t="n">
        <x:f>IF(OR(AM16="",AK16=""),"",AM16-AK16)</x:f>
        <x:v>0</x:v>
      </x:c>
      <x:c r="AO16" s="46" t="n">
        <x:f>IF('Model'!$D16=0,"",1-POWER(2,-MAX('Model'!$M16,'Model'!$M16+'Model'!$N16*(19-'Methodology'!$B$8)+0.5*'Model'!$P16*POWER(19-'Methodology'!$B$8,2))))</x:f>
        <x:v>0.758</x:v>
      </x:c>
      <x:c r="AP16" s="46" t="n">
        <x:f>IF(OR(AO16="",AM16=""),"",AO16-AM16)</x:f>
        <x:v>0</x:v>
      </x:c>
      <x:c r="AQ16" s="46" t="n">
        <x:f>IF('Model'!$D16=0,"",1-POWER(2,-MAX('Model'!$M16,'Model'!$M16+'Model'!$N16*(20-'Methodology'!$B$8)+0.5*'Model'!$P16*POWER(20-'Methodology'!$B$8,2))))</x:f>
        <x:v>0.758</x:v>
      </x:c>
      <x:c r="AR16" s="46" t="n">
        <x:f>IF(OR(AQ16="",AO16=""),"",AQ16-AO16)</x:f>
        <x:v>0</x:v>
      </x:c>
      <x:c r="AS16" s="24" t="n">
        <x:f>IF('Model'!$D16=0,"",Y16)</x:f>
        <x:v>0.758</x:v>
      </x:c>
      <x:c r="AT16" s="17" t="str">
        <x:f>'Model'!S16</x:f>
        <x:v>C</x:v>
      </x:c>
      <x:c r="AU16" s="26" t="n">
        <x:f>IF('Model'!$D16=0,"",'Model'!T16)</x:f>
        <x:v>2</x:v>
      </x:c>
      <x:c r="AV16" s="26" t="n">
        <x:f>IFERROR((AVERAGEIF($A$6:$A$28,"Direct economic stewardship",$AU$6:$AU$28)*'Summary'!$K$13+AVERAGEIF($A$6:$A$28,"Operational execution",$AU$6:$AU$28)*'Summary'!$K$14+AVERAGEIF($A$6:$A$28,"Personal stewardship transfer",$AU$6:$AU$28)*'Summary'!$K$15+AVERAGEIF($A$6:$A$28,"Economic value &amp; governance",$AU$6:$AU$28)*'Summary'!$K$16)/SUM('Summary'!$K$13:$K$16),"")</x:f>
        <x:v>0.6336477987421384</x:v>
      </x:c>
      <x:c r="AW16" s="25" t="n">
        <x:f>'Model'!N16</x:f>
        <x:v>0</x:v>
      </x:c>
      <x:c r="AX16" s="25" t="n">
        <x:f>'Model'!P16</x:f>
        <x:v>0</x:v>
      </x:c>
      <x:c r="AY16" s="17" t="str">
        <x:f>'Model'!Q16</x:f>
        <x:v>Flat — one observation</x:v>
      </x:c>
    </x:row>
    <x:row r="17" ht="46" hidden="0" customHeight="1">
      <x:c r="A17" s="17" t="str">
        <x:v>Operational execution</x:v>
      </x:c>
      <x:c r="B17" s="17" t="str">
        <x:v>OPS-05</x:v>
      </x:c>
      <x:c r="C17" s="17" t="str">
        <x:v>TheAgentCompany</x:v>
      </x:c>
      <x:c r="D17" s="17" t="str">
        <x:v>Fraction of workplace tasks completed</x:v>
      </x:c>
      <x:c r="E17" s="44" t="str">
        <x:f>IF(COUNTIFS('Observations'!$A$6:$A$500,$B17,'Observations'!$F$6:$F$500,"&lt;="&amp;1)=0,"",SUMIFS('Observations'!$G$6:$G$500,'Observations'!$A$6:$A$500,$B17,'Observations'!$F$6:$F$500,MAXIFS('Observations'!$F$6:$F$500,'Observations'!$A$6:$A$500,$B17,'Observations'!$F$6:$F$500,"&lt;="&amp;1)))</x:f>
      </x:c>
      <x:c r="F17" s="44" t="str">
        <x:f>""</x:f>
      </x:c>
      <x:c r="G17" s="44" t="str">
        <x:f>IF(COUNTIFS('Observations'!$A$6:$A$500,$B17,'Observations'!$F$6:$F$500,"&lt;="&amp;2)=0,"",SUMIFS('Observations'!$G$6:$G$500,'Observations'!$A$6:$A$500,$B17,'Observations'!$F$6:$F$500,MAXIFS('Observations'!$F$6:$F$500,'Observations'!$A$6:$A$500,$B17,'Observations'!$F$6:$F$500,"&lt;="&amp;2)))</x:f>
      </x:c>
      <x:c r="H17" s="44" t="str">
        <x:f>IF(OR(G17="",E17=""),"",G17-E17)</x:f>
      </x:c>
      <x:c r="I17" s="44" t="str">
        <x:f>IF(COUNTIFS('Observations'!$A$6:$A$500,$B17,'Observations'!$F$6:$F$500,"&lt;="&amp;3)=0,"",SUMIFS('Observations'!$G$6:$G$500,'Observations'!$A$6:$A$500,$B17,'Observations'!$F$6:$F$500,MAXIFS('Observations'!$F$6:$F$500,'Observations'!$A$6:$A$500,$B17,'Observations'!$F$6:$F$500,"&lt;="&amp;3)))</x:f>
      </x:c>
      <x:c r="J17" s="44" t="str">
        <x:f>IF(OR(I17="",G17=""),"",I17-G17)</x:f>
      </x:c>
      <x:c r="K17" s="45" t="n">
        <x:f>IF(COUNTIFS('Observations'!$A$6:$A$500,$B17,'Observations'!$F$6:$F$500,"&lt;="&amp;4)=0,"",SUMIFS('Observations'!$G$6:$G$500,'Observations'!$A$6:$A$500,$B17,'Observations'!$F$6:$F$500,MAXIFS('Observations'!$F$6:$F$500,'Observations'!$A$6:$A$500,$B17,'Observations'!$F$6:$F$500,"&lt;="&amp;4)))</x:f>
        <x:v>0.24</x:v>
      </x:c>
      <x:c r="L17" s="45" t="str">
        <x:f>IF(OR(K17="",I17=""),"",K17-I17)</x:f>
      </x:c>
      <x:c r="M17" s="44" t="n">
        <x:f>IF(COUNTIFS('Observations'!$A$6:$A$500,$B17,'Observations'!$F$6:$F$500,"&lt;="&amp;5)=0,"",SUMIFS('Observations'!$G$6:$G$500,'Observations'!$A$6:$A$500,$B17,'Observations'!$F$6:$F$500,MAXIFS('Observations'!$F$6:$F$500,'Observations'!$A$6:$A$500,$B17,'Observations'!$F$6:$F$500,"&lt;="&amp;5)))</x:f>
        <x:v>0.24</x:v>
      </x:c>
      <x:c r="N17" s="44" t="n">
        <x:f>IF(OR(M17="",K17=""),"",M17-K17)</x:f>
        <x:v>0</x:v>
      </x:c>
      <x:c r="O17" s="45" t="n">
        <x:f>IF(COUNTIFS('Observations'!$A$6:$A$500,$B17,'Observations'!$F$6:$F$500,"&lt;="&amp;6)=0,"",SUMIFS('Observations'!$G$6:$G$500,'Observations'!$A$6:$A$500,$B17,'Observations'!$F$6:$F$500,MAXIFS('Observations'!$F$6:$F$500,'Observations'!$A$6:$A$500,$B17,'Observations'!$F$6:$F$500,"&lt;="&amp;6)))</x:f>
        <x:v>0.303</x:v>
      </x:c>
      <x:c r="P17" s="45" t="n">
        <x:f>IF(OR(O17="",M17=""),"",O17-M17)</x:f>
        <x:v>0.063</x:v>
      </x:c>
      <x:c r="Q17" s="45" t="n">
        <x:f>IF(COUNTIFS('Observations'!$A$6:$A$500,$B17,'Observations'!$F$6:$F$500,"&lt;="&amp;7)=0,"",SUMIFS('Observations'!$G$6:$G$500,'Observations'!$A$6:$A$500,$B17,'Observations'!$F$6:$F$500,MAXIFS('Observations'!$F$6:$F$500,'Observations'!$A$6:$A$500,$B17,'Observations'!$F$6:$F$500,"&lt;="&amp;7)))</x:f>
        <x:v>0.429</x:v>
      </x:c>
      <x:c r="R17" s="45" t="n">
        <x:f>IF(OR(Q17="",O17=""),"",Q17-O17)</x:f>
        <x:v>0.126</x:v>
      </x:c>
      <x:c r="S17" s="44" t="n">
        <x:f>IF(COUNTIFS('Observations'!$A$6:$A$500,$B17,'Observations'!$F$6:$F$500,"&lt;="&amp;8)=0,"",SUMIFS('Observations'!$G$6:$G$500,'Observations'!$A$6:$A$500,$B17,'Observations'!$F$6:$F$500,MAXIFS('Observations'!$F$6:$F$500,'Observations'!$A$6:$A$500,$B17,'Observations'!$F$6:$F$500,"&lt;="&amp;8)))</x:f>
        <x:v>0.429</x:v>
      </x:c>
      <x:c r="T17" s="44" t="n">
        <x:f>IF(OR(S17="",Q17=""),"",S17-Q17)</x:f>
        <x:v>0</x:v>
      </x:c>
      <x:c r="U17" s="44" t="n">
        <x:f>IF(COUNTIFS('Observations'!$A$6:$A$500,$B17,'Observations'!$F$6:$F$500,"&lt;="&amp;9)=0,"",SUMIFS('Observations'!$G$6:$G$500,'Observations'!$A$6:$A$500,$B17,'Observations'!$F$6:$F$500,MAXIFS('Observations'!$F$6:$F$500,'Observations'!$A$6:$A$500,$B17,'Observations'!$F$6:$F$500,"&lt;="&amp;9)))</x:f>
        <x:v>0.429</x:v>
      </x:c>
      <x:c r="V17" s="44" t="n">
        <x:f>IF(OR(U17="",S17=""),"",U17-S17)</x:f>
        <x:v>0</x:v>
      </x:c>
      <x:c r="W17" s="44" t="n">
        <x:f>IF(COUNTIFS('Observations'!$A$6:$A$500,$B17,'Observations'!$F$6:$F$500,"&lt;="&amp;10)=0,"",SUMIFS('Observations'!$G$6:$G$500,'Observations'!$A$6:$A$500,$B17,'Observations'!$F$6:$F$500,MAXIFS('Observations'!$F$6:$F$500,'Observations'!$A$6:$A$500,$B17,'Observations'!$F$6:$F$500,"&lt;="&amp;10)))</x:f>
        <x:v>0.429</x:v>
      </x:c>
      <x:c r="X17" s="44" t="n">
        <x:f>IF(OR(W17="",U17=""),"",W17-U17)</x:f>
        <x:v>0</x:v>
      </x:c>
      <x:c r="Y17" s="44" t="n">
        <x:f>IF(COUNTIFS('Observations'!$A$6:$A$500,$B17,'Observations'!$F$6:$F$500,"&lt;="&amp;11)=0,"",SUMIFS('Observations'!$G$6:$G$500,'Observations'!$A$6:$A$500,$B17,'Observations'!$F$6:$F$500,MAXIFS('Observations'!$F$6:$F$500,'Observations'!$A$6:$A$500,$B17,'Observations'!$F$6:$F$500,"&lt;="&amp;11)))</x:f>
        <x:v>0.429</x:v>
      </x:c>
      <x:c r="Z17" s="44" t="n">
        <x:f>IF(OR(Y17="",W17=""),"",Y17-W17)</x:f>
        <x:v>0</x:v>
      </x:c>
      <x:c r="AA17" s="46" t="n">
        <x:f>IF('Model'!$D17=0,"",1-POWER(2,-MAX('Model'!$M17,'Model'!$M17+'Model'!$N17*(12-'Methodology'!$B$8)+0.5*'Model'!$P17*POWER(12-'Methodology'!$B$8,2))))</x:f>
        <x:v>0.5559444005391392</x:v>
      </x:c>
      <x:c r="AB17" s="46" t="n">
        <x:f>IF(OR(AA17="",Y17=""),"",AA17-Y17)</x:f>
        <x:v>0.1269444005391392</x:v>
      </x:c>
      <x:c r="AC17" s="46" t="n">
        <x:f>IF('Model'!$D17=0,"",1-POWER(2,-MAX('Model'!$M17,'Model'!$M17+'Model'!$N17*(13-'Methodology'!$B$8)+0.5*'Model'!$P17*POWER(13-'Methodology'!$B$8,2))))</x:f>
        <x:v>0.68880370470504</x:v>
      </x:c>
      <x:c r="AD17" s="46" t="n">
        <x:f>IF(OR(AC17="",AA17=""),"",AC17-AA17)</x:f>
        <x:v>0.13285930416590086</x:v>
      </x:c>
      <x:c r="AE17" s="46" t="n">
        <x:f>IF('Model'!$D17=0,"",1-POWER(2,-MAX('Model'!$M17,'Model'!$M17+'Model'!$N17*(14-'Methodology'!$B$8)+0.5*'Model'!$P17*POWER(14-'Methodology'!$B$8,2))))</x:f>
        <x:v>0.803470698584923</x:v>
      </x:c>
      <x:c r="AF17" s="46" t="n">
        <x:f>IF(OR(AE17="",AC17=""),"",AE17-AC17)</x:f>
        <x:v>0.114666993879883</x:v>
      </x:c>
      <x:c r="AG17" s="46" t="n">
        <x:f>IF('Model'!$D17=0,"",1-POWER(2,-MAX('Model'!$M17,'Model'!$M17+'Model'!$N17*(15-'Methodology'!$B$8)+0.5*'Model'!$P17*POWER(15-'Methodology'!$B$8,2))))</x:f>
        <x:v>0.8881551407169437</x:v>
      </x:c>
      <x:c r="AH17" s="46" t="n">
        <x:f>IF(OR(AG17="",AE17=""),"",AG17-AE17)</x:f>
        <x:v>0.08468444213202064</x:v>
      </x:c>
      <x:c r="AI17" s="46" t="n">
        <x:f>IF('Model'!$D17=0,"",1-POWER(2,-MAX('Model'!$M17,'Model'!$M17+'Model'!$N17*(16-'Methodology'!$B$8)+0.5*'Model'!$P17*POWER(16-'Methodology'!$B$8,2))))</x:f>
        <x:v>0.9426411323247148</x:v>
      </x:c>
      <x:c r="AJ17" s="46" t="n">
        <x:f>IF(OR(AI17="",AG17=""),"",AI17-AG17)</x:f>
        <x:v>0.05448599160777112</x:v>
      </x:c>
      <x:c r="AK17" s="46" t="n">
        <x:f>IF('Model'!$D17=0,"",1-POWER(2,-MAX('Model'!$M17,'Model'!$M17+'Model'!$N17*(17-'Methodology'!$B$8)+0.5*'Model'!$P17*POWER(17-'Methodology'!$B$8,2))))</x:f>
        <x:v>0.9734917574329855</x:v>
      </x:c>
      <x:c r="AL17" s="46" t="n">
        <x:f>IF(OR(AK17="",AI17=""),"",AK17-AI17)</x:f>
        <x:v>0.030850625108270746</x:v>
      </x:c>
      <x:c r="AM17" s="46" t="n">
        <x:f>IF('Model'!$D17=0,"",1-POWER(2,-MAX('Model'!$M17,'Model'!$M17+'Model'!$N17*(18-'Methodology'!$B$8)+0.5*'Model'!$P17*POWER(18-'Methodology'!$B$8,2))))</x:f>
        <x:v>0.9889603036663265</x:v>
      </x:c>
      <x:c r="AN17" s="46" t="n">
        <x:f>IF(OR(AM17="",AK17=""),"",AM17-AK17)</x:f>
        <x:v>0.01546854623334093</x:v>
      </x:c>
      <x:c r="AO17" s="46" t="n">
        <x:f>IF('Model'!$D17=0,"",1-POWER(2,-MAX('Model'!$M17,'Model'!$M17+'Model'!$N17*(19-'Methodology'!$B$8)+0.5*'Model'!$P17*POWER(19-'Methodology'!$B$8,2))))</x:f>
        <x:v>0.9958568644345129</x:v>
      </x:c>
      <x:c r="AP17" s="46" t="n">
        <x:f>IF(OR(AO17="",AM17=""),"",AO17-AM17)</x:f>
        <x:v>0.006896560768186455</x:v>
      </x:c>
      <x:c r="AQ17" s="46" t="n">
        <x:f>IF('Model'!$D17=0,"",1-POWER(2,-MAX('Model'!$M17,'Model'!$M17+'Model'!$N17*(20-'Methodology'!$B$8)+0.5*'Model'!$P17*POWER(20-'Methodology'!$B$8,2))))</x:f>
        <x:v>0.998598810142451</x:v>
      </x:c>
      <x:c r="AR17" s="46" t="n">
        <x:f>IF(OR(AQ17="",AO17=""),"",AQ17-AO17)</x:f>
        <x:v>0.002741945707938065</x:v>
      </x:c>
      <x:c r="AS17" s="24" t="n">
        <x:f>IF('Model'!$D17=0,"",Y17)</x:f>
        <x:v>0.429</x:v>
      </x:c>
      <x:c r="AT17" s="17" t="str">
        <x:f>'Model'!S17</x:f>
        <x:v>F</x:v>
      </x:c>
      <x:c r="AU17" s="26" t="n">
        <x:f>IF('Model'!$D17=0,"",'Model'!T17)</x:f>
        <x:v>0</x:v>
      </x:c>
      <x:c r="AV17" s="26" t="n">
        <x:f>IFERROR((AVERAGEIF($A$6:$A$28,"Direct economic stewardship",$AU$6:$AU$28)*'Summary'!$K$13+AVERAGEIF($A$6:$A$28,"Operational execution",$AU$6:$AU$28)*'Summary'!$K$14+AVERAGEIF($A$6:$A$28,"Personal stewardship transfer",$AU$6:$AU$28)*'Summary'!$K$15+AVERAGEIF($A$6:$A$28,"Economic value &amp; governance",$AU$6:$AU$28)*'Summary'!$K$16)/SUM('Summary'!$K$13:$K$16),"")</x:f>
        <x:v>0.6336477987421384</x:v>
      </x:c>
      <x:c r="AW17" s="25" t="n">
        <x:f>'Model'!N17</x:f>
        <x:v>0.2876679105055806</x:v>
      </x:c>
      <x:c r="AX17" s="25" t="n">
        <x:f>'Model'!P17</x:f>
        <x:v>0.15016501951621217</x:v>
      </x:c>
      <x:c r="AY17" s="17" t="str">
        <x:f>'Model'!Q17</x:f>
        <x:v>Velocity + acceleration — latest three observations</x:v>
      </x:c>
    </x:row>
    <x:row r="18" ht="46" hidden="0" customHeight="1">
      <x:c r="A18" s="17" t="str">
        <x:v>Operational execution</x:v>
      </x:c>
      <x:c r="B18" s="17" t="str">
        <x:v>OPS-06</x:v>
      </x:c>
      <x:c r="C18" s="17" t="str">
        <x:v>WorkArena++</x:v>
      </x:c>
      <x:c r="D18" s="17" t="str">
        <x:v>Browser workplace task success</x:v>
      </x:c>
      <x:c r="E18" s="44" t="str">
        <x:f>IF(COUNTIFS('Observations'!$A$6:$A$500,$B18,'Observations'!$F$6:$F$500,"&lt;="&amp;1)=0,"",SUMIFS('Observations'!$G$6:$G$500,'Observations'!$A$6:$A$500,$B18,'Observations'!$F$6:$F$500,MAXIFS('Observations'!$F$6:$F$500,'Observations'!$A$6:$A$500,$B18,'Observations'!$F$6:$F$500,"&lt;="&amp;1)))</x:f>
      </x:c>
      <x:c r="F18" s="44" t="str">
        <x:f>""</x:f>
      </x:c>
      <x:c r="G18" s="44" t="str">
        <x:f>IF(COUNTIFS('Observations'!$A$6:$A$500,$B18,'Observations'!$F$6:$F$500,"&lt;="&amp;2)=0,"",SUMIFS('Observations'!$G$6:$G$500,'Observations'!$A$6:$A$500,$B18,'Observations'!$F$6:$F$500,MAXIFS('Observations'!$F$6:$F$500,'Observations'!$A$6:$A$500,$B18,'Observations'!$F$6:$F$500,"&lt;="&amp;2)))</x:f>
      </x:c>
      <x:c r="H18" s="44" t="str">
        <x:f>IF(OR(G18="",E18=""),"",G18-E18)</x:f>
      </x:c>
      <x:c r="I18" s="44" t="str">
        <x:f>IF(COUNTIFS('Observations'!$A$6:$A$500,$B18,'Observations'!$F$6:$F$500,"&lt;="&amp;3)=0,"",SUMIFS('Observations'!$G$6:$G$500,'Observations'!$A$6:$A$500,$B18,'Observations'!$F$6:$F$500,MAXIFS('Observations'!$F$6:$F$500,'Observations'!$A$6:$A$500,$B18,'Observations'!$F$6:$F$500,"&lt;="&amp;3)))</x:f>
      </x:c>
      <x:c r="J18" s="44" t="str">
        <x:f>IF(OR(I18="",G18=""),"",I18-G18)</x:f>
      </x:c>
      <x:c r="K18" s="44" t="str">
        <x:f>IF(COUNTIFS('Observations'!$A$6:$A$500,$B18,'Observations'!$F$6:$F$500,"&lt;="&amp;4)=0,"",SUMIFS('Observations'!$G$6:$G$500,'Observations'!$A$6:$A$500,$B18,'Observations'!$F$6:$F$500,MAXIFS('Observations'!$F$6:$F$500,'Observations'!$A$6:$A$500,$B18,'Observations'!$F$6:$F$500,"&lt;="&amp;4)))</x:f>
      </x:c>
      <x:c r="L18" s="44" t="str">
        <x:f>IF(OR(K18="",I18=""),"",K18-I18)</x:f>
      </x:c>
      <x:c r="M18" s="44" t="str">
        <x:f>IF(COUNTIFS('Observations'!$A$6:$A$500,$B18,'Observations'!$F$6:$F$500,"&lt;="&amp;5)=0,"",SUMIFS('Observations'!$G$6:$G$500,'Observations'!$A$6:$A$500,$B18,'Observations'!$F$6:$F$500,MAXIFS('Observations'!$F$6:$F$500,'Observations'!$A$6:$A$500,$B18,'Observations'!$F$6:$F$500,"&lt;="&amp;5)))</x:f>
      </x:c>
      <x:c r="N18" s="44" t="str">
        <x:f>IF(OR(M18="",K18=""),"",M18-K18)</x:f>
      </x:c>
      <x:c r="O18" s="44" t="str">
        <x:f>IF(COUNTIFS('Observations'!$A$6:$A$500,$B18,'Observations'!$F$6:$F$500,"&lt;="&amp;6)=0,"",SUMIFS('Observations'!$G$6:$G$500,'Observations'!$A$6:$A$500,$B18,'Observations'!$F$6:$F$500,MAXIFS('Observations'!$F$6:$F$500,'Observations'!$A$6:$A$500,$B18,'Observations'!$F$6:$F$500,"&lt;="&amp;6)))</x:f>
      </x:c>
      <x:c r="P18" s="44" t="str">
        <x:f>IF(OR(O18="",M18=""),"",O18-M18)</x:f>
      </x:c>
      <x:c r="Q18" s="44" t="str">
        <x:f>IF(COUNTIFS('Observations'!$A$6:$A$500,$B18,'Observations'!$F$6:$F$500,"&lt;="&amp;7)=0,"",SUMIFS('Observations'!$G$6:$G$500,'Observations'!$A$6:$A$500,$B18,'Observations'!$F$6:$F$500,MAXIFS('Observations'!$F$6:$F$500,'Observations'!$A$6:$A$500,$B18,'Observations'!$F$6:$F$500,"&lt;="&amp;7)))</x:f>
      </x:c>
      <x:c r="R18" s="44" t="str">
        <x:f>IF(OR(Q18="",O18=""),"",Q18-O18)</x:f>
      </x:c>
      <x:c r="S18" s="44" t="str">
        <x:f>IF(COUNTIFS('Observations'!$A$6:$A$500,$B18,'Observations'!$F$6:$F$500,"&lt;="&amp;8)=0,"",SUMIFS('Observations'!$G$6:$G$500,'Observations'!$A$6:$A$500,$B18,'Observations'!$F$6:$F$500,MAXIFS('Observations'!$F$6:$F$500,'Observations'!$A$6:$A$500,$B18,'Observations'!$F$6:$F$500,"&lt;="&amp;8)))</x:f>
      </x:c>
      <x:c r="T18" s="44" t="str">
        <x:f>IF(OR(S18="",Q18=""),"",S18-Q18)</x:f>
      </x:c>
      <x:c r="U18" s="44" t="str">
        <x:f>IF(COUNTIFS('Observations'!$A$6:$A$500,$B18,'Observations'!$F$6:$F$500,"&lt;="&amp;9)=0,"",SUMIFS('Observations'!$G$6:$G$500,'Observations'!$A$6:$A$500,$B18,'Observations'!$F$6:$F$500,MAXIFS('Observations'!$F$6:$F$500,'Observations'!$A$6:$A$500,$B18,'Observations'!$F$6:$F$500,"&lt;="&amp;9)))</x:f>
      </x:c>
      <x:c r="V18" s="44" t="str">
        <x:f>IF(OR(U18="",S18=""),"",U18-S18)</x:f>
      </x:c>
      <x:c r="W18" s="44" t="str">
        <x:f>IF(COUNTIFS('Observations'!$A$6:$A$500,$B18,'Observations'!$F$6:$F$500,"&lt;="&amp;10)=0,"",SUMIFS('Observations'!$G$6:$G$500,'Observations'!$A$6:$A$500,$B18,'Observations'!$F$6:$F$500,MAXIFS('Observations'!$F$6:$F$500,'Observations'!$A$6:$A$500,$B18,'Observations'!$F$6:$F$500,"&lt;="&amp;10)))</x:f>
      </x:c>
      <x:c r="X18" s="44" t="str">
        <x:f>IF(OR(W18="",U18=""),"",W18-U18)</x:f>
      </x:c>
      <x:c r="Y18" s="44" t="str">
        <x:f>IF(COUNTIFS('Observations'!$A$6:$A$500,$B18,'Observations'!$F$6:$F$500,"&lt;="&amp;11)=0,"",SUMIFS('Observations'!$G$6:$G$500,'Observations'!$A$6:$A$500,$B18,'Observations'!$F$6:$F$500,MAXIFS('Observations'!$F$6:$F$500,'Observations'!$A$6:$A$500,$B18,'Observations'!$F$6:$F$500,"&lt;="&amp;11)))</x:f>
      </x:c>
      <x:c r="Z18" s="44" t="str">
        <x:f>IF(OR(Y18="",W18=""),"",Y18-W18)</x:f>
      </x:c>
      <x:c r="AA18" s="46" t="str">
        <x:f>IF('Model'!$D18=0,"",1-POWER(2,-MAX('Model'!$M18,'Model'!$M18+'Model'!$N18*(12-'Methodology'!$B$8)+0.5*'Model'!$P18*POWER(12-'Methodology'!$B$8,2))))</x:f>
      </x:c>
      <x:c r="AB18" s="46" t="str">
        <x:f>IF(OR(AA18="",Y18=""),"",AA18-Y18)</x:f>
      </x:c>
      <x:c r="AC18" s="46" t="str">
        <x:f>IF('Model'!$D18=0,"",1-POWER(2,-MAX('Model'!$M18,'Model'!$M18+'Model'!$N18*(13-'Methodology'!$B$8)+0.5*'Model'!$P18*POWER(13-'Methodology'!$B$8,2))))</x:f>
      </x:c>
      <x:c r="AD18" s="46" t="str">
        <x:f>IF(OR(AC18="",AA18=""),"",AC18-AA18)</x:f>
      </x:c>
      <x:c r="AE18" s="46" t="str">
        <x:f>IF('Model'!$D18=0,"",1-POWER(2,-MAX('Model'!$M18,'Model'!$M18+'Model'!$N18*(14-'Methodology'!$B$8)+0.5*'Model'!$P18*POWER(14-'Methodology'!$B$8,2))))</x:f>
      </x:c>
      <x:c r="AF18" s="46" t="str">
        <x:f>IF(OR(AE18="",AC18=""),"",AE18-AC18)</x:f>
      </x:c>
      <x:c r="AG18" s="46" t="str">
        <x:f>IF('Model'!$D18=0,"",1-POWER(2,-MAX('Model'!$M18,'Model'!$M18+'Model'!$N18*(15-'Methodology'!$B$8)+0.5*'Model'!$P18*POWER(15-'Methodology'!$B$8,2))))</x:f>
      </x:c>
      <x:c r="AH18" s="46" t="str">
        <x:f>IF(OR(AG18="",AE18=""),"",AG18-AE18)</x:f>
      </x:c>
      <x:c r="AI18" s="46" t="str">
        <x:f>IF('Model'!$D18=0,"",1-POWER(2,-MAX('Model'!$M18,'Model'!$M18+'Model'!$N18*(16-'Methodology'!$B$8)+0.5*'Model'!$P18*POWER(16-'Methodology'!$B$8,2))))</x:f>
      </x:c>
      <x:c r="AJ18" s="46" t="str">
        <x:f>IF(OR(AI18="",AG18=""),"",AI18-AG18)</x:f>
      </x:c>
      <x:c r="AK18" s="46" t="str">
        <x:f>IF('Model'!$D18=0,"",1-POWER(2,-MAX('Model'!$M18,'Model'!$M18+'Model'!$N18*(17-'Methodology'!$B$8)+0.5*'Model'!$P18*POWER(17-'Methodology'!$B$8,2))))</x:f>
      </x:c>
      <x:c r="AL18" s="46" t="str">
        <x:f>IF(OR(AK18="",AI18=""),"",AK18-AI18)</x:f>
      </x:c>
      <x:c r="AM18" s="46" t="str">
        <x:f>IF('Model'!$D18=0,"",1-POWER(2,-MAX('Model'!$M18,'Model'!$M18+'Model'!$N18*(18-'Methodology'!$B$8)+0.5*'Model'!$P18*POWER(18-'Methodology'!$B$8,2))))</x:f>
      </x:c>
      <x:c r="AN18" s="46" t="str">
        <x:f>IF(OR(AM18="",AK18=""),"",AM18-AK18)</x:f>
      </x:c>
      <x:c r="AO18" s="46" t="str">
        <x:f>IF('Model'!$D18=0,"",1-POWER(2,-MAX('Model'!$M18,'Model'!$M18+'Model'!$N18*(19-'Methodology'!$B$8)+0.5*'Model'!$P18*POWER(19-'Methodology'!$B$8,2))))</x:f>
      </x:c>
      <x:c r="AP18" s="46" t="str">
        <x:f>IF(OR(AO18="",AM18=""),"",AO18-AM18)</x:f>
      </x:c>
      <x:c r="AQ18" s="46" t="str">
        <x:f>IF('Model'!$D18=0,"",1-POWER(2,-MAX('Model'!$M18,'Model'!$M18+'Model'!$N18*(20-'Methodology'!$B$8)+0.5*'Model'!$P18*POWER(20-'Methodology'!$B$8,2))))</x:f>
      </x:c>
      <x:c r="AR18" s="46" t="str">
        <x:f>IF(OR(AQ18="",AO18=""),"",AQ18-AO18)</x:f>
      </x:c>
      <x:c r="AS18" s="24" t="str">
        <x:f>IF('Model'!$D18=0,"",Y18)</x:f>
      </x:c>
      <x:c r="AT18" s="17" t="str">
        <x:f>'Model'!S18</x:f>
        <x:v>N/A</x:v>
      </x:c>
      <x:c r="AU18" s="26" t="str">
        <x:f>IF('Model'!$D18=0,"",'Model'!T18)</x:f>
      </x:c>
      <x:c r="AV18" s="26" t="n">
        <x:f>IFERROR((AVERAGEIF($A$6:$A$28,"Direct economic stewardship",$AU$6:$AU$28)*'Summary'!$K$13+AVERAGEIF($A$6:$A$28,"Operational execution",$AU$6:$AU$28)*'Summary'!$K$14+AVERAGEIF($A$6:$A$28,"Personal stewardship transfer",$AU$6:$AU$28)*'Summary'!$K$15+AVERAGEIF($A$6:$A$28,"Economic value &amp; governance",$AU$6:$AU$28)*'Summary'!$K$16)/SUM('Summary'!$K$13:$K$16),"")</x:f>
        <x:v>0.6336477987421384</x:v>
      </x:c>
      <x:c r="AW18" s="25" t="n">
        <x:f>'Model'!N18</x:f>
        <x:v>0</x:v>
      </x:c>
      <x:c r="AX18" s="25" t="n">
        <x:f>'Model'!P18</x:f>
        <x:v>0</x:v>
      </x:c>
      <x:c r="AY18" s="17" t="str">
        <x:f>'Model'!Q18</x:f>
        <x:v>Ungraded — no normalized observation</x:v>
      </x:c>
    </x:row>
    <x:row r="19" ht="46" hidden="0" customHeight="1">
      <x:c r="A19" s="17" t="str">
        <x:v>Operational execution</x:v>
      </x:c>
      <x:c r="B19" s="17" t="str">
        <x:v>OPS-07</x:v>
      </x:c>
      <x:c r="C19" s="17" t="str">
        <x:v>Finch / FinWorkBench</x:v>
      </x:c>
      <x:c r="D19" s="17" t="str">
        <x:v>Strict finance-work task pass rate</x:v>
      </x:c>
      <x:c r="E19" s="44" t="str">
        <x:f>IF(COUNTIFS('Observations'!$A$6:$A$500,$B19,'Observations'!$F$6:$F$500,"&lt;="&amp;1)=0,"",SUMIFS('Observations'!$G$6:$G$500,'Observations'!$A$6:$A$500,$B19,'Observations'!$F$6:$F$500,MAXIFS('Observations'!$F$6:$F$500,'Observations'!$A$6:$A$500,$B19,'Observations'!$F$6:$F$500,"&lt;="&amp;1)))</x:f>
      </x:c>
      <x:c r="F19" s="44" t="str">
        <x:f>""</x:f>
      </x:c>
      <x:c r="G19" s="44" t="str">
        <x:f>IF(COUNTIFS('Observations'!$A$6:$A$500,$B19,'Observations'!$F$6:$F$500,"&lt;="&amp;2)=0,"",SUMIFS('Observations'!$G$6:$G$500,'Observations'!$A$6:$A$500,$B19,'Observations'!$F$6:$F$500,MAXIFS('Observations'!$F$6:$F$500,'Observations'!$A$6:$A$500,$B19,'Observations'!$F$6:$F$500,"&lt;="&amp;2)))</x:f>
      </x:c>
      <x:c r="H19" s="44" t="str">
        <x:f>IF(OR(G19="",E19=""),"",G19-E19)</x:f>
      </x:c>
      <x:c r="I19" s="44" t="str">
        <x:f>IF(COUNTIFS('Observations'!$A$6:$A$500,$B19,'Observations'!$F$6:$F$500,"&lt;="&amp;3)=0,"",SUMIFS('Observations'!$G$6:$G$500,'Observations'!$A$6:$A$500,$B19,'Observations'!$F$6:$F$500,MAXIFS('Observations'!$F$6:$F$500,'Observations'!$A$6:$A$500,$B19,'Observations'!$F$6:$F$500,"&lt;="&amp;3)))</x:f>
      </x:c>
      <x:c r="J19" s="44" t="str">
        <x:f>IF(OR(I19="",G19=""),"",I19-G19)</x:f>
      </x:c>
      <x:c r="K19" s="44" t="str">
        <x:f>IF(COUNTIFS('Observations'!$A$6:$A$500,$B19,'Observations'!$F$6:$F$500,"&lt;="&amp;4)=0,"",SUMIFS('Observations'!$G$6:$G$500,'Observations'!$A$6:$A$500,$B19,'Observations'!$F$6:$F$500,MAXIFS('Observations'!$F$6:$F$500,'Observations'!$A$6:$A$500,$B19,'Observations'!$F$6:$F$500,"&lt;="&amp;4)))</x:f>
      </x:c>
      <x:c r="L19" s="44" t="str">
        <x:f>IF(OR(K19="",I19=""),"",K19-I19)</x:f>
      </x:c>
      <x:c r="M19" s="44" t="str">
        <x:f>IF(COUNTIFS('Observations'!$A$6:$A$500,$B19,'Observations'!$F$6:$F$500,"&lt;="&amp;5)=0,"",SUMIFS('Observations'!$G$6:$G$500,'Observations'!$A$6:$A$500,$B19,'Observations'!$F$6:$F$500,MAXIFS('Observations'!$F$6:$F$500,'Observations'!$A$6:$A$500,$B19,'Observations'!$F$6:$F$500,"&lt;="&amp;5)))</x:f>
      </x:c>
      <x:c r="N19" s="44" t="str">
        <x:f>IF(OR(M19="",K19=""),"",M19-K19)</x:f>
      </x:c>
      <x:c r="O19" s="44" t="str">
        <x:f>IF(COUNTIFS('Observations'!$A$6:$A$500,$B19,'Observations'!$F$6:$F$500,"&lt;="&amp;6)=0,"",SUMIFS('Observations'!$G$6:$G$500,'Observations'!$A$6:$A$500,$B19,'Observations'!$F$6:$F$500,MAXIFS('Observations'!$F$6:$F$500,'Observations'!$A$6:$A$500,$B19,'Observations'!$F$6:$F$500,"&lt;="&amp;6)))</x:f>
      </x:c>
      <x:c r="P19" s="44" t="str">
        <x:f>IF(OR(O19="",M19=""),"",O19-M19)</x:f>
      </x:c>
      <x:c r="Q19" s="44" t="str">
        <x:f>IF(COUNTIFS('Observations'!$A$6:$A$500,$B19,'Observations'!$F$6:$F$500,"&lt;="&amp;7)=0,"",SUMIFS('Observations'!$G$6:$G$500,'Observations'!$A$6:$A$500,$B19,'Observations'!$F$6:$F$500,MAXIFS('Observations'!$F$6:$F$500,'Observations'!$A$6:$A$500,$B19,'Observations'!$F$6:$F$500,"&lt;="&amp;7)))</x:f>
      </x:c>
      <x:c r="R19" s="44" t="str">
        <x:f>IF(OR(Q19="",O19=""),"",Q19-O19)</x:f>
      </x:c>
      <x:c r="S19" s="45" t="n">
        <x:f>IF(COUNTIFS('Observations'!$A$6:$A$500,$B19,'Observations'!$F$6:$F$500,"&lt;="&amp;8)=0,"",SUMIFS('Observations'!$G$6:$G$500,'Observations'!$A$6:$A$500,$B19,'Observations'!$F$6:$F$500,MAXIFS('Observations'!$F$6:$F$500,'Observations'!$A$6:$A$500,$B19,'Observations'!$F$6:$F$500,"&lt;="&amp;8)))</x:f>
        <x:v>0.384</x:v>
      </x:c>
      <x:c r="T19" s="45" t="str">
        <x:f>IF(OR(S19="",Q19=""),"",S19-Q19)</x:f>
      </x:c>
      <x:c r="U19" s="44" t="n">
        <x:f>IF(COUNTIFS('Observations'!$A$6:$A$500,$B19,'Observations'!$F$6:$F$500,"&lt;="&amp;9)=0,"",SUMIFS('Observations'!$G$6:$G$500,'Observations'!$A$6:$A$500,$B19,'Observations'!$F$6:$F$500,MAXIFS('Observations'!$F$6:$F$500,'Observations'!$A$6:$A$500,$B19,'Observations'!$F$6:$F$500,"&lt;="&amp;9)))</x:f>
        <x:v>0.384</x:v>
      </x:c>
      <x:c r="V19" s="44" t="n">
        <x:f>IF(OR(U19="",S19=""),"",U19-S19)</x:f>
        <x:v>0</x:v>
      </x:c>
      <x:c r="W19" s="44" t="n">
        <x:f>IF(COUNTIFS('Observations'!$A$6:$A$500,$B19,'Observations'!$F$6:$F$500,"&lt;="&amp;10)=0,"",SUMIFS('Observations'!$G$6:$G$500,'Observations'!$A$6:$A$500,$B19,'Observations'!$F$6:$F$500,MAXIFS('Observations'!$F$6:$F$500,'Observations'!$A$6:$A$500,$B19,'Observations'!$F$6:$F$500,"&lt;="&amp;10)))</x:f>
        <x:v>0.384</x:v>
      </x:c>
      <x:c r="X19" s="44" t="n">
        <x:f>IF(OR(W19="",U19=""),"",W19-U19)</x:f>
        <x:v>0</x:v>
      </x:c>
      <x:c r="Y19" s="44" t="n">
        <x:f>IF(COUNTIFS('Observations'!$A$6:$A$500,$B19,'Observations'!$F$6:$F$500,"&lt;="&amp;11)=0,"",SUMIFS('Observations'!$G$6:$G$500,'Observations'!$A$6:$A$500,$B19,'Observations'!$F$6:$F$500,MAXIFS('Observations'!$F$6:$F$500,'Observations'!$A$6:$A$500,$B19,'Observations'!$F$6:$F$500,"&lt;="&amp;11)))</x:f>
        <x:v>0.384</x:v>
      </x:c>
      <x:c r="Z19" s="44" t="n">
        <x:f>IF(OR(Y19="",W19=""),"",Y19-W19)</x:f>
        <x:v>0</x:v>
      </x:c>
      <x:c r="AA19" s="46" t="n">
        <x:f>IF('Model'!$D19=0,"",1-POWER(2,-MAX('Model'!$M19,'Model'!$M19+'Model'!$N19*(12-'Methodology'!$B$8)+0.5*'Model'!$P19*POWER(12-'Methodology'!$B$8,2))))</x:f>
        <x:v>0.384</x:v>
      </x:c>
      <x:c r="AB19" s="46" t="n">
        <x:f>IF(OR(AA19="",Y19=""),"",AA19-Y19)</x:f>
        <x:v>0</x:v>
      </x:c>
      <x:c r="AC19" s="46" t="n">
        <x:f>IF('Model'!$D19=0,"",1-POWER(2,-MAX('Model'!$M19,'Model'!$M19+'Model'!$N19*(13-'Methodology'!$B$8)+0.5*'Model'!$P19*POWER(13-'Methodology'!$B$8,2))))</x:f>
        <x:v>0.384</x:v>
      </x:c>
      <x:c r="AD19" s="46" t="n">
        <x:f>IF(OR(AC19="",AA19=""),"",AC19-AA19)</x:f>
        <x:v>0</x:v>
      </x:c>
      <x:c r="AE19" s="46" t="n">
        <x:f>IF('Model'!$D19=0,"",1-POWER(2,-MAX('Model'!$M19,'Model'!$M19+'Model'!$N19*(14-'Methodology'!$B$8)+0.5*'Model'!$P19*POWER(14-'Methodology'!$B$8,2))))</x:f>
        <x:v>0.384</x:v>
      </x:c>
      <x:c r="AF19" s="46" t="n">
        <x:f>IF(OR(AE19="",AC19=""),"",AE19-AC19)</x:f>
        <x:v>0</x:v>
      </x:c>
      <x:c r="AG19" s="46" t="n">
        <x:f>IF('Model'!$D19=0,"",1-POWER(2,-MAX('Model'!$M19,'Model'!$M19+'Model'!$N19*(15-'Methodology'!$B$8)+0.5*'Model'!$P19*POWER(15-'Methodology'!$B$8,2))))</x:f>
        <x:v>0.384</x:v>
      </x:c>
      <x:c r="AH19" s="46" t="n">
        <x:f>IF(OR(AG19="",AE19=""),"",AG19-AE19)</x:f>
        <x:v>0</x:v>
      </x:c>
      <x:c r="AI19" s="46" t="n">
        <x:f>IF('Model'!$D19=0,"",1-POWER(2,-MAX('Model'!$M19,'Model'!$M19+'Model'!$N19*(16-'Methodology'!$B$8)+0.5*'Model'!$P19*POWER(16-'Methodology'!$B$8,2))))</x:f>
        <x:v>0.384</x:v>
      </x:c>
      <x:c r="AJ19" s="46" t="n">
        <x:f>IF(OR(AI19="",AG19=""),"",AI19-AG19)</x:f>
        <x:v>0</x:v>
      </x:c>
      <x:c r="AK19" s="46" t="n">
        <x:f>IF('Model'!$D19=0,"",1-POWER(2,-MAX('Model'!$M19,'Model'!$M19+'Model'!$N19*(17-'Methodology'!$B$8)+0.5*'Model'!$P19*POWER(17-'Methodology'!$B$8,2))))</x:f>
        <x:v>0.384</x:v>
      </x:c>
      <x:c r="AL19" s="46" t="n">
        <x:f>IF(OR(AK19="",AI19=""),"",AK19-AI19)</x:f>
        <x:v>0</x:v>
      </x:c>
      <x:c r="AM19" s="46" t="n">
        <x:f>IF('Model'!$D19=0,"",1-POWER(2,-MAX('Model'!$M19,'Model'!$M19+'Model'!$N19*(18-'Methodology'!$B$8)+0.5*'Model'!$P19*POWER(18-'Methodology'!$B$8,2))))</x:f>
        <x:v>0.384</x:v>
      </x:c>
      <x:c r="AN19" s="46" t="n">
        <x:f>IF(OR(AM19="",AK19=""),"",AM19-AK19)</x:f>
        <x:v>0</x:v>
      </x:c>
      <x:c r="AO19" s="46" t="n">
        <x:f>IF('Model'!$D19=0,"",1-POWER(2,-MAX('Model'!$M19,'Model'!$M19+'Model'!$N19*(19-'Methodology'!$B$8)+0.5*'Model'!$P19*POWER(19-'Methodology'!$B$8,2))))</x:f>
        <x:v>0.384</x:v>
      </x:c>
      <x:c r="AP19" s="46" t="n">
        <x:f>IF(OR(AO19="",AM19=""),"",AO19-AM19)</x:f>
        <x:v>0</x:v>
      </x:c>
      <x:c r="AQ19" s="46" t="n">
        <x:f>IF('Model'!$D19=0,"",1-POWER(2,-MAX('Model'!$M19,'Model'!$M19+'Model'!$N19*(20-'Methodology'!$B$8)+0.5*'Model'!$P19*POWER(20-'Methodology'!$B$8,2))))</x:f>
        <x:v>0.384</x:v>
      </x:c>
      <x:c r="AR19" s="46" t="n">
        <x:f>IF(OR(AQ19="",AO19=""),"",AQ19-AO19)</x:f>
        <x:v>0</x:v>
      </x:c>
      <x:c r="AS19" s="24" t="n">
        <x:f>IF('Model'!$D19=0,"",Y19)</x:f>
        <x:v>0.384</x:v>
      </x:c>
      <x:c r="AT19" s="17" t="str">
        <x:f>'Model'!S19</x:f>
        <x:v>F</x:v>
      </x:c>
      <x:c r="AU19" s="26" t="n">
        <x:f>IF('Model'!$D19=0,"",'Model'!T19)</x:f>
        <x:v>0</x:v>
      </x:c>
      <x:c r="AV19" s="26" t="n">
        <x:f>IFERROR((AVERAGEIF($A$6:$A$28,"Direct economic stewardship",$AU$6:$AU$28)*'Summary'!$K$13+AVERAGEIF($A$6:$A$28,"Operational execution",$AU$6:$AU$28)*'Summary'!$K$14+AVERAGEIF($A$6:$A$28,"Personal stewardship transfer",$AU$6:$AU$28)*'Summary'!$K$15+AVERAGEIF($A$6:$A$28,"Economic value &amp; governance",$AU$6:$AU$28)*'Summary'!$K$16)/SUM('Summary'!$K$13:$K$16),"")</x:f>
        <x:v>0.6336477987421384</x:v>
      </x:c>
      <x:c r="AW19" s="25" t="n">
        <x:f>'Model'!N19</x:f>
        <x:v>0</x:v>
      </x:c>
      <x:c r="AX19" s="25" t="n">
        <x:f>'Model'!P19</x:f>
        <x:v>0</x:v>
      </x:c>
      <x:c r="AY19" s="17" t="str">
        <x:f>'Model'!Q19</x:f>
        <x:v>Flat — one observation</x:v>
      </x:c>
    </x:row>
    <x:row r="20" ht="46" hidden="0" customHeight="1">
      <x:c r="A20" s="17" t="str">
        <x:v>Operational execution</x:v>
      </x:c>
      <x:c r="B20" s="17" t="str">
        <x:v>OPS-08</x:v>
      </x:c>
      <x:c r="C20" s="17" t="str">
        <x:v>tau3 Banking</x:v>
      </x:c>
      <x:c r="D20" s="17" t="str">
        <x:v>Pass^k / strict banking-agent success</x:v>
      </x:c>
      <x:c r="E20" s="44" t="str">
        <x:f>IF(COUNTIFS('Observations'!$A$6:$A$500,$B20,'Observations'!$F$6:$F$500,"&lt;="&amp;1)=0,"",SUMIFS('Observations'!$G$6:$G$500,'Observations'!$A$6:$A$500,$B20,'Observations'!$F$6:$F$500,MAXIFS('Observations'!$F$6:$F$500,'Observations'!$A$6:$A$500,$B20,'Observations'!$F$6:$F$500,"&lt;="&amp;1)))</x:f>
      </x:c>
      <x:c r="F20" s="44" t="str">
        <x:f>""</x:f>
      </x:c>
      <x:c r="G20" s="44" t="str">
        <x:f>IF(COUNTIFS('Observations'!$A$6:$A$500,$B20,'Observations'!$F$6:$F$500,"&lt;="&amp;2)=0,"",SUMIFS('Observations'!$G$6:$G$500,'Observations'!$A$6:$A$500,$B20,'Observations'!$F$6:$F$500,MAXIFS('Observations'!$F$6:$F$500,'Observations'!$A$6:$A$500,$B20,'Observations'!$F$6:$F$500,"&lt;="&amp;2)))</x:f>
      </x:c>
      <x:c r="H20" s="44" t="str">
        <x:f>IF(OR(G20="",E20=""),"",G20-E20)</x:f>
      </x:c>
      <x:c r="I20" s="44" t="str">
        <x:f>IF(COUNTIFS('Observations'!$A$6:$A$500,$B20,'Observations'!$F$6:$F$500,"&lt;="&amp;3)=0,"",SUMIFS('Observations'!$G$6:$G$500,'Observations'!$A$6:$A$500,$B20,'Observations'!$F$6:$F$500,MAXIFS('Observations'!$F$6:$F$500,'Observations'!$A$6:$A$500,$B20,'Observations'!$F$6:$F$500,"&lt;="&amp;3)))</x:f>
      </x:c>
      <x:c r="J20" s="44" t="str">
        <x:f>IF(OR(I20="",G20=""),"",I20-G20)</x:f>
      </x:c>
      <x:c r="K20" s="44" t="str">
        <x:f>IF(COUNTIFS('Observations'!$A$6:$A$500,$B20,'Observations'!$F$6:$F$500,"&lt;="&amp;4)=0,"",SUMIFS('Observations'!$G$6:$G$500,'Observations'!$A$6:$A$500,$B20,'Observations'!$F$6:$F$500,MAXIFS('Observations'!$F$6:$F$500,'Observations'!$A$6:$A$500,$B20,'Observations'!$F$6:$F$500,"&lt;="&amp;4)))</x:f>
      </x:c>
      <x:c r="L20" s="44" t="str">
        <x:f>IF(OR(K20="",I20=""),"",K20-I20)</x:f>
      </x:c>
      <x:c r="M20" s="44" t="str">
        <x:f>IF(COUNTIFS('Observations'!$A$6:$A$500,$B20,'Observations'!$F$6:$F$500,"&lt;="&amp;5)=0,"",SUMIFS('Observations'!$G$6:$G$500,'Observations'!$A$6:$A$500,$B20,'Observations'!$F$6:$F$500,MAXIFS('Observations'!$F$6:$F$500,'Observations'!$A$6:$A$500,$B20,'Observations'!$F$6:$F$500,"&lt;="&amp;5)))</x:f>
      </x:c>
      <x:c r="N20" s="44" t="str">
        <x:f>IF(OR(M20="",K20=""),"",M20-K20)</x:f>
      </x:c>
      <x:c r="O20" s="44" t="str">
        <x:f>IF(COUNTIFS('Observations'!$A$6:$A$500,$B20,'Observations'!$F$6:$F$500,"&lt;="&amp;6)=0,"",SUMIFS('Observations'!$G$6:$G$500,'Observations'!$A$6:$A$500,$B20,'Observations'!$F$6:$F$500,MAXIFS('Observations'!$F$6:$F$500,'Observations'!$A$6:$A$500,$B20,'Observations'!$F$6:$F$500,"&lt;="&amp;6)))</x:f>
      </x:c>
      <x:c r="P20" s="44" t="str">
        <x:f>IF(OR(O20="",M20=""),"",O20-M20)</x:f>
      </x:c>
      <x:c r="Q20" s="45" t="n">
        <x:f>IF(COUNTIFS('Observations'!$A$6:$A$500,$B20,'Observations'!$F$6:$F$500,"&lt;="&amp;7)=0,"",SUMIFS('Observations'!$G$6:$G$500,'Observations'!$A$6:$A$500,$B20,'Observations'!$F$6:$F$500,MAXIFS('Observations'!$F$6:$F$500,'Observations'!$A$6:$A$500,$B20,'Observations'!$F$6:$F$500,"&lt;="&amp;7)))</x:f>
        <x:v>0.253</x:v>
      </x:c>
      <x:c r="R20" s="45" t="str">
        <x:f>IF(OR(Q20="",O20=""),"",Q20-O20)</x:f>
      </x:c>
      <x:c r="S20" s="45" t="n">
        <x:f>IF(COUNTIFS('Observations'!$A$6:$A$500,$B20,'Observations'!$F$6:$F$500,"&lt;="&amp;8)=0,"",SUMIFS('Observations'!$G$6:$G$500,'Observations'!$A$6:$A$500,$B20,'Observations'!$F$6:$F$500,MAXIFS('Observations'!$F$6:$F$500,'Observations'!$A$6:$A$500,$B20,'Observations'!$F$6:$F$500,"&lt;="&amp;8)))</x:f>
        <x:v>0.322</x:v>
      </x:c>
      <x:c r="T20" s="45" t="n">
        <x:f>IF(OR(S20="",Q20=""),"",S20-Q20)</x:f>
        <x:v>0.069</x:v>
      </x:c>
      <x:c r="U20" s="45" t="n">
        <x:f>IF(COUNTIFS('Observations'!$A$6:$A$500,$B20,'Observations'!$F$6:$F$500,"&lt;="&amp;9)=0,"",SUMIFS('Observations'!$G$6:$G$500,'Observations'!$A$6:$A$500,$B20,'Observations'!$F$6:$F$500,MAXIFS('Observations'!$F$6:$F$500,'Observations'!$A$6:$A$500,$B20,'Observations'!$F$6:$F$500,"&lt;="&amp;9)))</x:f>
        <x:v>0.394</x:v>
      </x:c>
      <x:c r="V20" s="45" t="n">
        <x:f>IF(OR(U20="",S20=""),"",U20-S20)</x:f>
        <x:v>0.07200000000000001</x:v>
      </x:c>
      <x:c r="W20" s="45" t="n">
        <x:f>IF(COUNTIFS('Observations'!$A$6:$A$500,$B20,'Observations'!$F$6:$F$500,"&lt;="&amp;10)=0,"",SUMIFS('Observations'!$G$6:$G$500,'Observations'!$A$6:$A$500,$B20,'Observations'!$F$6:$F$500,MAXIFS('Observations'!$F$6:$F$500,'Observations'!$A$6:$A$500,$B20,'Observations'!$F$6:$F$500,"&lt;="&amp;10)))</x:f>
        <x:v>0.446</x:v>
      </x:c>
      <x:c r="X20" s="45" t="n">
        <x:f>IF(OR(W20="",U20=""),"",W20-U20)</x:f>
        <x:v>0.05199999999999999</x:v>
      </x:c>
      <x:c r="Y20" s="45" t="n">
        <x:f>IF(COUNTIFS('Observations'!$A$6:$A$500,$B20,'Observations'!$F$6:$F$500,"&lt;="&amp;11)=0,"",SUMIFS('Observations'!$G$6:$G$500,'Observations'!$A$6:$A$500,$B20,'Observations'!$F$6:$F$500,MAXIFS('Observations'!$F$6:$F$500,'Observations'!$A$6:$A$500,$B20,'Observations'!$F$6:$F$500,"&lt;="&amp;11)))</x:f>
        <x:v>0.552</x:v>
      </x:c>
      <x:c r="Z20" s="45" t="n">
        <x:f>IF(OR(Y20="",W20=""),"",Y20-W20)</x:f>
        <x:v>0.10600000000000004</x:v>
      </x:c>
      <x:c r="AA20" s="46" t="n">
        <x:f>IF('Model'!$D20=0,"",1-POWER(2,-MAX('Model'!$M20,'Model'!$M20+'Model'!$N20*(12-'Methodology'!$B$8)+0.5*'Model'!$P20*POWER(12-'Methodology'!$B$8,2))))</x:f>
        <x:v>0.6592688668048576</x:v>
      </x:c>
      <x:c r="AB20" s="46" t="n">
        <x:f>IF(OR(AA20="",Y20=""),"",AA20-Y20)</x:f>
        <x:v>0.10726886680485759</x:v>
      </x:c>
      <x:c r="AC20" s="46" t="n">
        <x:f>IF('Model'!$D20=0,"",1-POWER(2,-MAX('Model'!$M20,'Model'!$M20+'Model'!$N20*(13-'Methodology'!$B$8)+0.5*'Model'!$P20*POWER(13-'Methodology'!$B$8,2))))</x:f>
        <x:v>0.770767215434066</x:v>
      </x:c>
      <x:c r="AD20" s="46" t="n">
        <x:f>IF(OR(AC20="",AA20=""),"",AC20-AA20)</x:f>
        <x:v>0.11149834862920838</x:v>
      </x:c>
      <x:c r="AE20" s="46" t="n">
        <x:f>IF('Model'!$D20=0,"",1-POWER(2,-MAX('Model'!$M20,'Model'!$M20+'Model'!$N20*(14-'Methodology'!$B$8)+0.5*'Model'!$P20*POWER(14-'Methodology'!$B$8,2))))</x:f>
        <x:v>0.8635816629980508</x:v>
      </x:c>
      <x:c r="AF20" s="46" t="n">
        <x:f>IF(OR(AE20="",AC20=""),"",AE20-AC20)</x:f>
        <x:v>0.09281444756398483</x:v>
      </x:c>
      <x:c r="AG20" s="46" t="n">
        <x:f>IF('Model'!$D20=0,"",1-POWER(2,-MAX('Model'!$M20,'Model'!$M20+'Model'!$N20*(15-'Methodology'!$B$8)+0.5*'Model'!$P20*POWER(15-'Methodology'!$B$8,2))))</x:f>
        <x:v>0.9281875273322151</x:v>
      </x:c>
      <x:c r="AH20" s="46" t="n">
        <x:f>IF(OR(AG20="",AE20=""),"",AG20-AE20)</x:f>
        <x:v>0.06460586433416426</x:v>
      </x:c>
      <x:c r="AI20" s="46" t="n">
        <x:f>IF('Model'!$D20=0,"",1-POWER(2,-MAX('Model'!$M20,'Model'!$M20+'Model'!$N20*(16-'Methodology'!$B$8)+0.5*'Model'!$P20*POWER(16-'Methodology'!$B$8,2))))</x:f>
        <x:v>0.9665606274987677</x:v>
      </x:c>
      <x:c r="AJ20" s="46" t="n">
        <x:f>IF(OR(AI20="",AG20=""),"",AI20-AG20)</x:f>
        <x:v>0.0383731001665526</x:v>
      </x:c>
      <x:c r="AK20" s="46" t="n">
        <x:f>IF('Model'!$D20=0,"",1-POWER(2,-MAX('Model'!$M20,'Model'!$M20+'Model'!$N20*(17-'Methodology'!$B$8)+0.5*'Model'!$P20*POWER(17-'Methodology'!$B$8,2))))</x:f>
        <x:v>0.9862264000033575</x:v>
      </x:c>
      <x:c r="AL20" s="46" t="n">
        <x:f>IF(OR(AK20="",AI20=""),"",AK20-AI20)</x:f>
        <x:v>0.019665772504589785</x:v>
      </x:c>
      <x:c r="AM20" s="46" t="n">
        <x:f>IF('Model'!$D20=0,"",1-POWER(2,-MAX('Model'!$M20,'Model'!$M20+'Model'!$N20*(18-'Methodology'!$B$8)+0.5*'Model'!$P20*POWER(18-'Methodology'!$B$8,2))))</x:f>
        <x:v>0.9949815694050459</x:v>
      </x:c>
      <x:c r="AN20" s="46" t="n">
        <x:f>IF(OR(AM20="",AK20=""),"",AM20-AK20)</x:f>
        <x:v>0.008755169401688412</x:v>
      </x:c>
      <x:c r="AO20" s="46" t="n">
        <x:f>IF('Model'!$D20=0,"",1-POWER(2,-MAX('Model'!$M20,'Model'!$M20+'Model'!$N20*(19-'Methodology'!$B$8)+0.5*'Model'!$P20*POWER(19-'Methodology'!$B$8,2))))</x:f>
        <x:v>0.9983825923727305</x:v>
      </x:c>
      <x:c r="AP20" s="46" t="n">
        <x:f>IF(OR(AO20="",AM20=""),"",AO20-AM20)</x:f>
        <x:v>0.0034010229676846304</x:v>
      </x:c>
      <x:c r="AQ20" s="46" t="n">
        <x:f>IF('Model'!$D20=0,"",1-POWER(2,-MAX('Model'!$M20,'Model'!$M20+'Model'!$N20*(20-'Methodology'!$B$8)+0.5*'Model'!$P20*POWER(20-'Methodology'!$B$8,2))))</x:f>
        <x:v>0.9995388925276858</x:v>
      </x:c>
      <x:c r="AR20" s="46" t="n">
        <x:f>IF(OR(AQ20="",AO20=""),"",AQ20-AO20)</x:f>
        <x:v>0.0011563001549552698</x:v>
      </x:c>
      <x:c r="AS20" s="24" t="n">
        <x:f>IF('Model'!$D20=0,"",Y20)</x:f>
        <x:v>0.552</x:v>
      </x:c>
      <x:c r="AT20" s="17" t="str">
        <x:f>'Model'!S20</x:f>
        <x:v>F</x:v>
      </x:c>
      <x:c r="AU20" s="26" t="n">
        <x:f>IF('Model'!$D20=0,"",'Model'!T20)</x:f>
        <x:v>0</x:v>
      </x:c>
      <x:c r="AV20" s="26" t="n">
        <x:f>IFERROR((AVERAGEIF($A$6:$A$28,"Direct economic stewardship",$AU$6:$AU$28)*'Summary'!$K$13+AVERAGEIF($A$6:$A$28,"Operational execution",$AU$6:$AU$28)*'Summary'!$K$14+AVERAGEIF($A$6:$A$28,"Personal stewardship transfer",$AU$6:$AU$28)*'Summary'!$K$15+AVERAGEIF($A$6:$A$28,"Economic value &amp; governance",$AU$6:$AU$28)*'Summary'!$K$16)/SUM('Summary'!$K$13:$K$16),"")</x:f>
        <x:v>0.6336477987421384</x:v>
      </x:c>
      <x:c r="AW20" s="25" t="n">
        <x:f>'Model'!N20</x:f>
        <x:v>0.30638724399158446</x:v>
      </x:c>
      <x:c r="AX20" s="25" t="n">
        <x:f>'Model'!P20</x:f>
        <x:v>0.17695542656782204</x:v>
      </x:c>
      <x:c r="AY20" s="17" t="str">
        <x:f>'Model'!Q20</x:f>
        <x:v>Velocity + acceleration — latest three observations</x:v>
      </x:c>
    </x:row>
    <x:row r="21" ht="46" hidden="0" customHeight="1">
      <x:c r="A21" s="17" t="str">
        <x:v>Personal stewardship transfer</x:v>
      </x:c>
      <x:c r="B21" s="17" t="str">
        <x:v>PER-01</x:v>
      </x:c>
      <x:c r="C21" s="17" t="str">
        <x:v>MyPCBench</x:v>
      </x:c>
      <x:c r="D21" s="17" t="str">
        <x:v>Perfect task success rate</x:v>
      </x:c>
      <x:c r="E21" s="44" t="str">
        <x:f>IF(COUNTIFS('Observations'!$A$6:$A$500,$B21,'Observations'!$F$6:$F$500,"&lt;="&amp;1)=0,"",SUMIFS('Observations'!$G$6:$G$500,'Observations'!$A$6:$A$500,$B21,'Observations'!$F$6:$F$500,MAXIFS('Observations'!$F$6:$F$500,'Observations'!$A$6:$A$500,$B21,'Observations'!$F$6:$F$500,"&lt;="&amp;1)))</x:f>
      </x:c>
      <x:c r="F21" s="44" t="str">
        <x:f>""</x:f>
      </x:c>
      <x:c r="G21" s="44" t="str">
        <x:f>IF(COUNTIFS('Observations'!$A$6:$A$500,$B21,'Observations'!$F$6:$F$500,"&lt;="&amp;2)=0,"",SUMIFS('Observations'!$G$6:$G$500,'Observations'!$A$6:$A$500,$B21,'Observations'!$F$6:$F$500,MAXIFS('Observations'!$F$6:$F$500,'Observations'!$A$6:$A$500,$B21,'Observations'!$F$6:$F$500,"&lt;="&amp;2)))</x:f>
      </x:c>
      <x:c r="H21" s="44" t="str">
        <x:f>IF(OR(G21="",E21=""),"",G21-E21)</x:f>
      </x:c>
      <x:c r="I21" s="44" t="str">
        <x:f>IF(COUNTIFS('Observations'!$A$6:$A$500,$B21,'Observations'!$F$6:$F$500,"&lt;="&amp;3)=0,"",SUMIFS('Observations'!$G$6:$G$500,'Observations'!$A$6:$A$500,$B21,'Observations'!$F$6:$F$500,MAXIFS('Observations'!$F$6:$F$500,'Observations'!$A$6:$A$500,$B21,'Observations'!$F$6:$F$500,"&lt;="&amp;3)))</x:f>
      </x:c>
      <x:c r="J21" s="44" t="str">
        <x:f>IF(OR(I21="",G21=""),"",I21-G21)</x:f>
      </x:c>
      <x:c r="K21" s="44" t="str">
        <x:f>IF(COUNTIFS('Observations'!$A$6:$A$500,$B21,'Observations'!$F$6:$F$500,"&lt;="&amp;4)=0,"",SUMIFS('Observations'!$G$6:$G$500,'Observations'!$A$6:$A$500,$B21,'Observations'!$F$6:$F$500,MAXIFS('Observations'!$F$6:$F$500,'Observations'!$A$6:$A$500,$B21,'Observations'!$F$6:$F$500,"&lt;="&amp;4)))</x:f>
      </x:c>
      <x:c r="L21" s="44" t="str">
        <x:f>IF(OR(K21="",I21=""),"",K21-I21)</x:f>
      </x:c>
      <x:c r="M21" s="44" t="str">
        <x:f>IF(COUNTIFS('Observations'!$A$6:$A$500,$B21,'Observations'!$F$6:$F$500,"&lt;="&amp;5)=0,"",SUMIFS('Observations'!$G$6:$G$500,'Observations'!$A$6:$A$500,$B21,'Observations'!$F$6:$F$500,MAXIFS('Observations'!$F$6:$F$500,'Observations'!$A$6:$A$500,$B21,'Observations'!$F$6:$F$500,"&lt;="&amp;5)))</x:f>
      </x:c>
      <x:c r="N21" s="44" t="str">
        <x:f>IF(OR(M21="",K21=""),"",M21-K21)</x:f>
      </x:c>
      <x:c r="O21" s="44" t="str">
        <x:f>IF(COUNTIFS('Observations'!$A$6:$A$500,$B21,'Observations'!$F$6:$F$500,"&lt;="&amp;6)=0,"",SUMIFS('Observations'!$G$6:$G$500,'Observations'!$A$6:$A$500,$B21,'Observations'!$F$6:$F$500,MAXIFS('Observations'!$F$6:$F$500,'Observations'!$A$6:$A$500,$B21,'Observations'!$F$6:$F$500,"&lt;="&amp;6)))</x:f>
      </x:c>
      <x:c r="P21" s="44" t="str">
        <x:f>IF(OR(O21="",M21=""),"",O21-M21)</x:f>
      </x:c>
      <x:c r="Q21" s="44" t="str">
        <x:f>IF(COUNTIFS('Observations'!$A$6:$A$500,$B21,'Observations'!$F$6:$F$500,"&lt;="&amp;7)=0,"",SUMIFS('Observations'!$G$6:$G$500,'Observations'!$A$6:$A$500,$B21,'Observations'!$F$6:$F$500,MAXIFS('Observations'!$F$6:$F$500,'Observations'!$A$6:$A$500,$B21,'Observations'!$F$6:$F$500,"&lt;="&amp;7)))</x:f>
      </x:c>
      <x:c r="R21" s="44" t="str">
        <x:f>IF(OR(Q21="",O21=""),"",Q21-O21)</x:f>
      </x:c>
      <x:c r="S21" s="44" t="str">
        <x:f>IF(COUNTIFS('Observations'!$A$6:$A$500,$B21,'Observations'!$F$6:$F$500,"&lt;="&amp;8)=0,"",SUMIFS('Observations'!$G$6:$G$500,'Observations'!$A$6:$A$500,$B21,'Observations'!$F$6:$F$500,MAXIFS('Observations'!$F$6:$F$500,'Observations'!$A$6:$A$500,$B21,'Observations'!$F$6:$F$500,"&lt;="&amp;8)))</x:f>
      </x:c>
      <x:c r="T21" s="44" t="str">
        <x:f>IF(OR(S21="",Q21=""),"",S21-Q21)</x:f>
      </x:c>
      <x:c r="U21" s="45" t="n">
        <x:f>IF(COUNTIFS('Observations'!$A$6:$A$500,$B21,'Observations'!$F$6:$F$500,"&lt;="&amp;9)=0,"",SUMIFS('Observations'!$G$6:$G$500,'Observations'!$A$6:$A$500,$B21,'Observations'!$F$6:$F$500,MAXIFS('Observations'!$F$6:$F$500,'Observations'!$A$6:$A$500,$B21,'Observations'!$F$6:$F$500,"&lt;="&amp;9)))</x:f>
        <x:v>0.582</x:v>
      </x:c>
      <x:c r="V21" s="45" t="str">
        <x:f>IF(OR(U21="",S21=""),"",U21-S21)</x:f>
      </x:c>
      <x:c r="W21" s="44" t="n">
        <x:f>IF(COUNTIFS('Observations'!$A$6:$A$500,$B21,'Observations'!$F$6:$F$500,"&lt;="&amp;10)=0,"",SUMIFS('Observations'!$G$6:$G$500,'Observations'!$A$6:$A$500,$B21,'Observations'!$F$6:$F$500,MAXIFS('Observations'!$F$6:$F$500,'Observations'!$A$6:$A$500,$B21,'Observations'!$F$6:$F$500,"&lt;="&amp;10)))</x:f>
        <x:v>0.582</x:v>
      </x:c>
      <x:c r="X21" s="44" t="n">
        <x:f>IF(OR(W21="",U21=""),"",W21-U21)</x:f>
        <x:v>0</x:v>
      </x:c>
      <x:c r="Y21" s="44" t="n">
        <x:f>IF(COUNTIFS('Observations'!$A$6:$A$500,$B21,'Observations'!$F$6:$F$500,"&lt;="&amp;11)=0,"",SUMIFS('Observations'!$G$6:$G$500,'Observations'!$A$6:$A$500,$B21,'Observations'!$F$6:$F$500,MAXIFS('Observations'!$F$6:$F$500,'Observations'!$A$6:$A$500,$B21,'Observations'!$F$6:$F$500,"&lt;="&amp;11)))</x:f>
        <x:v>0.582</x:v>
      </x:c>
      <x:c r="Z21" s="44" t="n">
        <x:f>IF(OR(Y21="",W21=""),"",Y21-W21)</x:f>
        <x:v>0</x:v>
      </x:c>
      <x:c r="AA21" s="46" t="n">
        <x:f>IF('Model'!$D21=0,"",1-POWER(2,-MAX('Model'!$M21,'Model'!$M21+'Model'!$N21*(12-'Methodology'!$B$8)+0.5*'Model'!$P21*POWER(12-'Methodology'!$B$8,2))))</x:f>
        <x:v>0.582</x:v>
      </x:c>
      <x:c r="AB21" s="46" t="n">
        <x:f>IF(OR(AA21="",Y21=""),"",AA21-Y21)</x:f>
        <x:v>0</x:v>
      </x:c>
      <x:c r="AC21" s="46" t="n">
        <x:f>IF('Model'!$D21=0,"",1-POWER(2,-MAX('Model'!$M21,'Model'!$M21+'Model'!$N21*(13-'Methodology'!$B$8)+0.5*'Model'!$P21*POWER(13-'Methodology'!$B$8,2))))</x:f>
        <x:v>0.582</x:v>
      </x:c>
      <x:c r="AD21" s="46" t="n">
        <x:f>IF(OR(AC21="",AA21=""),"",AC21-AA21)</x:f>
        <x:v>0</x:v>
      </x:c>
      <x:c r="AE21" s="46" t="n">
        <x:f>IF('Model'!$D21=0,"",1-POWER(2,-MAX('Model'!$M21,'Model'!$M21+'Model'!$N21*(14-'Methodology'!$B$8)+0.5*'Model'!$P21*POWER(14-'Methodology'!$B$8,2))))</x:f>
        <x:v>0.582</x:v>
      </x:c>
      <x:c r="AF21" s="46" t="n">
        <x:f>IF(OR(AE21="",AC21=""),"",AE21-AC21)</x:f>
        <x:v>0</x:v>
      </x:c>
      <x:c r="AG21" s="46" t="n">
        <x:f>IF('Model'!$D21=0,"",1-POWER(2,-MAX('Model'!$M21,'Model'!$M21+'Model'!$N21*(15-'Methodology'!$B$8)+0.5*'Model'!$P21*POWER(15-'Methodology'!$B$8,2))))</x:f>
        <x:v>0.582</x:v>
      </x:c>
      <x:c r="AH21" s="46" t="n">
        <x:f>IF(OR(AG21="",AE21=""),"",AG21-AE21)</x:f>
        <x:v>0</x:v>
      </x:c>
      <x:c r="AI21" s="46" t="n">
        <x:f>IF('Model'!$D21=0,"",1-POWER(2,-MAX('Model'!$M21,'Model'!$M21+'Model'!$N21*(16-'Methodology'!$B$8)+0.5*'Model'!$P21*POWER(16-'Methodology'!$B$8,2))))</x:f>
        <x:v>0.582</x:v>
      </x:c>
      <x:c r="AJ21" s="46" t="n">
        <x:f>IF(OR(AI21="",AG21=""),"",AI21-AG21)</x:f>
        <x:v>0</x:v>
      </x:c>
      <x:c r="AK21" s="46" t="n">
        <x:f>IF('Model'!$D21=0,"",1-POWER(2,-MAX('Model'!$M21,'Model'!$M21+'Model'!$N21*(17-'Methodology'!$B$8)+0.5*'Model'!$P21*POWER(17-'Methodology'!$B$8,2))))</x:f>
        <x:v>0.582</x:v>
      </x:c>
      <x:c r="AL21" s="46" t="n">
        <x:f>IF(OR(AK21="",AI21=""),"",AK21-AI21)</x:f>
        <x:v>0</x:v>
      </x:c>
      <x:c r="AM21" s="46" t="n">
        <x:f>IF('Model'!$D21=0,"",1-POWER(2,-MAX('Model'!$M21,'Model'!$M21+'Model'!$N21*(18-'Methodology'!$B$8)+0.5*'Model'!$P21*POWER(18-'Methodology'!$B$8,2))))</x:f>
        <x:v>0.582</x:v>
      </x:c>
      <x:c r="AN21" s="46" t="n">
        <x:f>IF(OR(AM21="",AK21=""),"",AM21-AK21)</x:f>
        <x:v>0</x:v>
      </x:c>
      <x:c r="AO21" s="46" t="n">
        <x:f>IF('Model'!$D21=0,"",1-POWER(2,-MAX('Model'!$M21,'Model'!$M21+'Model'!$N21*(19-'Methodology'!$B$8)+0.5*'Model'!$P21*POWER(19-'Methodology'!$B$8,2))))</x:f>
        <x:v>0.582</x:v>
      </x:c>
      <x:c r="AP21" s="46" t="n">
        <x:f>IF(OR(AO21="",AM21=""),"",AO21-AM21)</x:f>
        <x:v>0</x:v>
      </x:c>
      <x:c r="AQ21" s="46" t="n">
        <x:f>IF('Model'!$D21=0,"",1-POWER(2,-MAX('Model'!$M21,'Model'!$M21+'Model'!$N21*(20-'Methodology'!$B$8)+0.5*'Model'!$P21*POWER(20-'Methodology'!$B$8,2))))</x:f>
        <x:v>0.582</x:v>
      </x:c>
      <x:c r="AR21" s="46" t="n">
        <x:f>IF(OR(AQ21="",AO21=""),"",AQ21-AO21)</x:f>
        <x:v>0</x:v>
      </x:c>
      <x:c r="AS21" s="24" t="n">
        <x:f>IF('Model'!$D21=0,"",Y21)</x:f>
        <x:v>0.582</x:v>
      </x:c>
      <x:c r="AT21" s="17" t="str">
        <x:f>'Model'!S21</x:f>
        <x:v>F</x:v>
      </x:c>
      <x:c r="AU21" s="26" t="n">
        <x:f>IF('Model'!$D21=0,"",'Model'!T21)</x:f>
        <x:v>0</x:v>
      </x:c>
      <x:c r="AV21" s="26" t="n">
        <x:f>IFERROR((AVERAGEIF($A$6:$A$28,"Direct economic stewardship",$AU$6:$AU$28)*'Summary'!$K$13+AVERAGEIF($A$6:$A$28,"Operational execution",$AU$6:$AU$28)*'Summary'!$K$14+AVERAGEIF($A$6:$A$28,"Personal stewardship transfer",$AU$6:$AU$28)*'Summary'!$K$15+AVERAGEIF($A$6:$A$28,"Economic value &amp; governance",$AU$6:$AU$28)*'Summary'!$K$16)/SUM('Summary'!$K$13:$K$16),"")</x:f>
        <x:v>0.6336477987421384</x:v>
      </x:c>
      <x:c r="AW21" s="25" t="n">
        <x:f>'Model'!N21</x:f>
        <x:v>0</x:v>
      </x:c>
      <x:c r="AX21" s="25" t="n">
        <x:f>'Model'!P21</x:f>
        <x:v>0</x:v>
      </x:c>
      <x:c r="AY21" s="17" t="str">
        <x:f>'Model'!Q21</x:f>
        <x:v>Flat — one observation</x:v>
      </x:c>
    </x:row>
    <x:row r="22" ht="46" hidden="0" customHeight="1">
      <x:c r="A22" s="17" t="str">
        <x:v>Personal stewardship transfer</x:v>
      </x:c>
      <x:c r="B22" s="17" t="str">
        <x:v>PER-02</x:v>
      </x:c>
      <x:c r="C22" s="17" t="str">
        <x:v>pi-Bench</x:v>
      </x:c>
      <x:c r="D22" s="17" t="str">
        <x:v>Completeness checklist score</x:v>
      </x:c>
      <x:c r="E22" s="44" t="str">
        <x:f>IF(COUNTIFS('Observations'!$A$6:$A$500,$B22,'Observations'!$F$6:$F$500,"&lt;="&amp;1)=0,"",SUMIFS('Observations'!$G$6:$G$500,'Observations'!$A$6:$A$500,$B22,'Observations'!$F$6:$F$500,MAXIFS('Observations'!$F$6:$F$500,'Observations'!$A$6:$A$500,$B22,'Observations'!$F$6:$F$500,"&lt;="&amp;1)))</x:f>
      </x:c>
      <x:c r="F22" s="44" t="str">
        <x:f>""</x:f>
      </x:c>
      <x:c r="G22" s="44" t="str">
        <x:f>IF(COUNTIFS('Observations'!$A$6:$A$500,$B22,'Observations'!$F$6:$F$500,"&lt;="&amp;2)=0,"",SUMIFS('Observations'!$G$6:$G$500,'Observations'!$A$6:$A$500,$B22,'Observations'!$F$6:$F$500,MAXIFS('Observations'!$F$6:$F$500,'Observations'!$A$6:$A$500,$B22,'Observations'!$F$6:$F$500,"&lt;="&amp;2)))</x:f>
      </x:c>
      <x:c r="H22" s="44" t="str">
        <x:f>IF(OR(G22="",E22=""),"",G22-E22)</x:f>
      </x:c>
      <x:c r="I22" s="44" t="str">
        <x:f>IF(COUNTIFS('Observations'!$A$6:$A$500,$B22,'Observations'!$F$6:$F$500,"&lt;="&amp;3)=0,"",SUMIFS('Observations'!$G$6:$G$500,'Observations'!$A$6:$A$500,$B22,'Observations'!$F$6:$F$500,MAXIFS('Observations'!$F$6:$F$500,'Observations'!$A$6:$A$500,$B22,'Observations'!$F$6:$F$500,"&lt;="&amp;3)))</x:f>
      </x:c>
      <x:c r="J22" s="44" t="str">
        <x:f>IF(OR(I22="",G22=""),"",I22-G22)</x:f>
      </x:c>
      <x:c r="K22" s="44" t="str">
        <x:f>IF(COUNTIFS('Observations'!$A$6:$A$500,$B22,'Observations'!$F$6:$F$500,"&lt;="&amp;4)=0,"",SUMIFS('Observations'!$G$6:$G$500,'Observations'!$A$6:$A$500,$B22,'Observations'!$F$6:$F$500,MAXIFS('Observations'!$F$6:$F$500,'Observations'!$A$6:$A$500,$B22,'Observations'!$F$6:$F$500,"&lt;="&amp;4)))</x:f>
      </x:c>
      <x:c r="L22" s="44" t="str">
        <x:f>IF(OR(K22="",I22=""),"",K22-I22)</x:f>
      </x:c>
      <x:c r="M22" s="44" t="str">
        <x:f>IF(COUNTIFS('Observations'!$A$6:$A$500,$B22,'Observations'!$F$6:$F$500,"&lt;="&amp;5)=0,"",SUMIFS('Observations'!$G$6:$G$500,'Observations'!$A$6:$A$500,$B22,'Observations'!$F$6:$F$500,MAXIFS('Observations'!$F$6:$F$500,'Observations'!$A$6:$A$500,$B22,'Observations'!$F$6:$F$500,"&lt;="&amp;5)))</x:f>
      </x:c>
      <x:c r="N22" s="44" t="str">
        <x:f>IF(OR(M22="",K22=""),"",M22-K22)</x:f>
      </x:c>
      <x:c r="O22" s="44" t="str">
        <x:f>IF(COUNTIFS('Observations'!$A$6:$A$500,$B22,'Observations'!$F$6:$F$500,"&lt;="&amp;6)=0,"",SUMIFS('Observations'!$G$6:$G$500,'Observations'!$A$6:$A$500,$B22,'Observations'!$F$6:$F$500,MAXIFS('Observations'!$F$6:$F$500,'Observations'!$A$6:$A$500,$B22,'Observations'!$F$6:$F$500,"&lt;="&amp;6)))</x:f>
      </x:c>
      <x:c r="P22" s="44" t="str">
        <x:f>IF(OR(O22="",M22=""),"",O22-M22)</x:f>
      </x:c>
      <x:c r="Q22" s="44" t="str">
        <x:f>IF(COUNTIFS('Observations'!$A$6:$A$500,$B22,'Observations'!$F$6:$F$500,"&lt;="&amp;7)=0,"",SUMIFS('Observations'!$G$6:$G$500,'Observations'!$A$6:$A$500,$B22,'Observations'!$F$6:$F$500,MAXIFS('Observations'!$F$6:$F$500,'Observations'!$A$6:$A$500,$B22,'Observations'!$F$6:$F$500,"&lt;="&amp;7)))</x:f>
      </x:c>
      <x:c r="R22" s="44" t="str">
        <x:f>IF(OR(Q22="",O22=""),"",Q22-O22)</x:f>
      </x:c>
      <x:c r="S22" s="44" t="str">
        <x:f>IF(COUNTIFS('Observations'!$A$6:$A$500,$B22,'Observations'!$F$6:$F$500,"&lt;="&amp;8)=0,"",SUMIFS('Observations'!$G$6:$G$500,'Observations'!$A$6:$A$500,$B22,'Observations'!$F$6:$F$500,MAXIFS('Observations'!$F$6:$F$500,'Observations'!$A$6:$A$500,$B22,'Observations'!$F$6:$F$500,"&lt;="&amp;8)))</x:f>
      </x:c>
      <x:c r="T22" s="44" t="str">
        <x:f>IF(OR(S22="",Q22=""),"",S22-Q22)</x:f>
      </x:c>
      <x:c r="U22" s="45" t="n">
        <x:f>IF(COUNTIFS('Observations'!$A$6:$A$500,$B22,'Observations'!$F$6:$F$500,"&lt;="&amp;9)=0,"",SUMIFS('Observations'!$G$6:$G$500,'Observations'!$A$6:$A$500,$B22,'Observations'!$F$6:$F$500,MAXIFS('Observations'!$F$6:$F$500,'Observations'!$A$6:$A$500,$B22,'Observations'!$F$6:$F$500,"&lt;="&amp;9)))</x:f>
        <x:v>0.676</x:v>
      </x:c>
      <x:c r="V22" s="45" t="str">
        <x:f>IF(OR(U22="",S22=""),"",U22-S22)</x:f>
      </x:c>
      <x:c r="W22" s="44" t="n">
        <x:f>IF(COUNTIFS('Observations'!$A$6:$A$500,$B22,'Observations'!$F$6:$F$500,"&lt;="&amp;10)=0,"",SUMIFS('Observations'!$G$6:$G$500,'Observations'!$A$6:$A$500,$B22,'Observations'!$F$6:$F$500,MAXIFS('Observations'!$F$6:$F$500,'Observations'!$A$6:$A$500,$B22,'Observations'!$F$6:$F$500,"&lt;="&amp;10)))</x:f>
        <x:v>0.676</x:v>
      </x:c>
      <x:c r="X22" s="44" t="n">
        <x:f>IF(OR(W22="",U22=""),"",W22-U22)</x:f>
        <x:v>0</x:v>
      </x:c>
      <x:c r="Y22" s="44" t="n">
        <x:f>IF(COUNTIFS('Observations'!$A$6:$A$500,$B22,'Observations'!$F$6:$F$500,"&lt;="&amp;11)=0,"",SUMIFS('Observations'!$G$6:$G$500,'Observations'!$A$6:$A$500,$B22,'Observations'!$F$6:$F$500,MAXIFS('Observations'!$F$6:$F$500,'Observations'!$A$6:$A$500,$B22,'Observations'!$F$6:$F$500,"&lt;="&amp;11)))</x:f>
        <x:v>0.676</x:v>
      </x:c>
      <x:c r="Z22" s="44" t="n">
        <x:f>IF(OR(Y22="",W22=""),"",Y22-W22)</x:f>
        <x:v>0</x:v>
      </x:c>
      <x:c r="AA22" s="46" t="n">
        <x:f>IF('Model'!$D22=0,"",1-POWER(2,-MAX('Model'!$M22,'Model'!$M22+'Model'!$N22*(12-'Methodology'!$B$8)+0.5*'Model'!$P22*POWER(12-'Methodology'!$B$8,2))))</x:f>
        <x:v>0.676</x:v>
      </x:c>
      <x:c r="AB22" s="46" t="n">
        <x:f>IF(OR(AA22="",Y22=""),"",AA22-Y22)</x:f>
        <x:v>0</x:v>
      </x:c>
      <x:c r="AC22" s="46" t="n">
        <x:f>IF('Model'!$D22=0,"",1-POWER(2,-MAX('Model'!$M22,'Model'!$M22+'Model'!$N22*(13-'Methodology'!$B$8)+0.5*'Model'!$P22*POWER(13-'Methodology'!$B$8,2))))</x:f>
        <x:v>0.676</x:v>
      </x:c>
      <x:c r="AD22" s="46" t="n">
        <x:f>IF(OR(AC22="",AA22=""),"",AC22-AA22)</x:f>
        <x:v>0</x:v>
      </x:c>
      <x:c r="AE22" s="46" t="n">
        <x:f>IF('Model'!$D22=0,"",1-POWER(2,-MAX('Model'!$M22,'Model'!$M22+'Model'!$N22*(14-'Methodology'!$B$8)+0.5*'Model'!$P22*POWER(14-'Methodology'!$B$8,2))))</x:f>
        <x:v>0.676</x:v>
      </x:c>
      <x:c r="AF22" s="46" t="n">
        <x:f>IF(OR(AE22="",AC22=""),"",AE22-AC22)</x:f>
        <x:v>0</x:v>
      </x:c>
      <x:c r="AG22" s="46" t="n">
        <x:f>IF('Model'!$D22=0,"",1-POWER(2,-MAX('Model'!$M22,'Model'!$M22+'Model'!$N22*(15-'Methodology'!$B$8)+0.5*'Model'!$P22*POWER(15-'Methodology'!$B$8,2))))</x:f>
        <x:v>0.676</x:v>
      </x:c>
      <x:c r="AH22" s="46" t="n">
        <x:f>IF(OR(AG22="",AE22=""),"",AG22-AE22)</x:f>
        <x:v>0</x:v>
      </x:c>
      <x:c r="AI22" s="46" t="n">
        <x:f>IF('Model'!$D22=0,"",1-POWER(2,-MAX('Model'!$M22,'Model'!$M22+'Model'!$N22*(16-'Methodology'!$B$8)+0.5*'Model'!$P22*POWER(16-'Methodology'!$B$8,2))))</x:f>
        <x:v>0.676</x:v>
      </x:c>
      <x:c r="AJ22" s="46" t="n">
        <x:f>IF(OR(AI22="",AG22=""),"",AI22-AG22)</x:f>
        <x:v>0</x:v>
      </x:c>
      <x:c r="AK22" s="46" t="n">
        <x:f>IF('Model'!$D22=0,"",1-POWER(2,-MAX('Model'!$M22,'Model'!$M22+'Model'!$N22*(17-'Methodology'!$B$8)+0.5*'Model'!$P22*POWER(17-'Methodology'!$B$8,2))))</x:f>
        <x:v>0.676</x:v>
      </x:c>
      <x:c r="AL22" s="46" t="n">
        <x:f>IF(OR(AK22="",AI22=""),"",AK22-AI22)</x:f>
        <x:v>0</x:v>
      </x:c>
      <x:c r="AM22" s="46" t="n">
        <x:f>IF('Model'!$D22=0,"",1-POWER(2,-MAX('Model'!$M22,'Model'!$M22+'Model'!$N22*(18-'Methodology'!$B$8)+0.5*'Model'!$P22*POWER(18-'Methodology'!$B$8,2))))</x:f>
        <x:v>0.676</x:v>
      </x:c>
      <x:c r="AN22" s="46" t="n">
        <x:f>IF(OR(AM22="",AK22=""),"",AM22-AK22)</x:f>
        <x:v>0</x:v>
      </x:c>
      <x:c r="AO22" s="46" t="n">
        <x:f>IF('Model'!$D22=0,"",1-POWER(2,-MAX('Model'!$M22,'Model'!$M22+'Model'!$N22*(19-'Methodology'!$B$8)+0.5*'Model'!$P22*POWER(19-'Methodology'!$B$8,2))))</x:f>
        <x:v>0.676</x:v>
      </x:c>
      <x:c r="AP22" s="46" t="n">
        <x:f>IF(OR(AO22="",AM22=""),"",AO22-AM22)</x:f>
        <x:v>0</x:v>
      </x:c>
      <x:c r="AQ22" s="46" t="n">
        <x:f>IF('Model'!$D22=0,"",1-POWER(2,-MAX('Model'!$M22,'Model'!$M22+'Model'!$N22*(20-'Methodology'!$B$8)+0.5*'Model'!$P22*POWER(20-'Methodology'!$B$8,2))))</x:f>
        <x:v>0.676</x:v>
      </x:c>
      <x:c r="AR22" s="46" t="n">
        <x:f>IF(OR(AQ22="",AO22=""),"",AQ22-AO22)</x:f>
        <x:v>0</x:v>
      </x:c>
      <x:c r="AS22" s="24" t="n">
        <x:f>IF('Model'!$D22=0,"",Y22)</x:f>
        <x:v>0.676</x:v>
      </x:c>
      <x:c r="AT22" s="17" t="str">
        <x:f>'Model'!S22</x:f>
        <x:v>D</x:v>
      </x:c>
      <x:c r="AU22" s="26" t="n">
        <x:f>IF('Model'!$D22=0,"",'Model'!T22)</x:f>
        <x:v>1</x:v>
      </x:c>
      <x:c r="AV22" s="26" t="n">
        <x:f>IFERROR((AVERAGEIF($A$6:$A$28,"Direct economic stewardship",$AU$6:$AU$28)*'Summary'!$K$13+AVERAGEIF($A$6:$A$28,"Operational execution",$AU$6:$AU$28)*'Summary'!$K$14+AVERAGEIF($A$6:$A$28,"Personal stewardship transfer",$AU$6:$AU$28)*'Summary'!$K$15+AVERAGEIF($A$6:$A$28,"Economic value &amp; governance",$AU$6:$AU$28)*'Summary'!$K$16)/SUM('Summary'!$K$13:$K$16),"")</x:f>
        <x:v>0.6336477987421384</x:v>
      </x:c>
      <x:c r="AW22" s="25" t="n">
        <x:f>'Model'!N22</x:f>
        <x:v>0</x:v>
      </x:c>
      <x:c r="AX22" s="25" t="n">
        <x:f>'Model'!P22</x:f>
        <x:v>0</x:v>
      </x:c>
      <x:c r="AY22" s="17" t="str">
        <x:f>'Model'!Q22</x:f>
        <x:v>Flat — one observation</x:v>
      </x:c>
    </x:row>
    <x:row r="23" ht="46" hidden="0" customHeight="1">
      <x:c r="A23" s="17" t="str">
        <x:v>Personal stewardship transfer</x:v>
      </x:c>
      <x:c r="B23" s="17" t="str">
        <x:v>PER-03</x:v>
      </x:c>
      <x:c r="C23" s="17" t="str">
        <x:v>ClawBench</x:v>
      </x:c>
      <x:c r="D23" s="17" t="str">
        <x:v>Standardized personal-agent task score</x:v>
      </x:c>
      <x:c r="E23" s="44" t="str">
        <x:f>IF(COUNTIFS('Observations'!$A$6:$A$500,$B23,'Observations'!$F$6:$F$500,"&lt;="&amp;1)=0,"",SUMIFS('Observations'!$G$6:$G$500,'Observations'!$A$6:$A$500,$B23,'Observations'!$F$6:$F$500,MAXIFS('Observations'!$F$6:$F$500,'Observations'!$A$6:$A$500,$B23,'Observations'!$F$6:$F$500,"&lt;="&amp;1)))</x:f>
      </x:c>
      <x:c r="F23" s="44" t="str">
        <x:f>""</x:f>
      </x:c>
      <x:c r="G23" s="44" t="str">
        <x:f>IF(COUNTIFS('Observations'!$A$6:$A$500,$B23,'Observations'!$F$6:$F$500,"&lt;="&amp;2)=0,"",SUMIFS('Observations'!$G$6:$G$500,'Observations'!$A$6:$A$500,$B23,'Observations'!$F$6:$F$500,MAXIFS('Observations'!$F$6:$F$500,'Observations'!$A$6:$A$500,$B23,'Observations'!$F$6:$F$500,"&lt;="&amp;2)))</x:f>
      </x:c>
      <x:c r="H23" s="44" t="str">
        <x:f>IF(OR(G23="",E23=""),"",G23-E23)</x:f>
      </x:c>
      <x:c r="I23" s="44" t="str">
        <x:f>IF(COUNTIFS('Observations'!$A$6:$A$500,$B23,'Observations'!$F$6:$F$500,"&lt;="&amp;3)=0,"",SUMIFS('Observations'!$G$6:$G$500,'Observations'!$A$6:$A$500,$B23,'Observations'!$F$6:$F$500,MAXIFS('Observations'!$F$6:$F$500,'Observations'!$A$6:$A$500,$B23,'Observations'!$F$6:$F$500,"&lt;="&amp;3)))</x:f>
      </x:c>
      <x:c r="J23" s="44" t="str">
        <x:f>IF(OR(I23="",G23=""),"",I23-G23)</x:f>
      </x:c>
      <x:c r="K23" s="44" t="str">
        <x:f>IF(COUNTIFS('Observations'!$A$6:$A$500,$B23,'Observations'!$F$6:$F$500,"&lt;="&amp;4)=0,"",SUMIFS('Observations'!$G$6:$G$500,'Observations'!$A$6:$A$500,$B23,'Observations'!$F$6:$F$500,MAXIFS('Observations'!$F$6:$F$500,'Observations'!$A$6:$A$500,$B23,'Observations'!$F$6:$F$500,"&lt;="&amp;4)))</x:f>
      </x:c>
      <x:c r="L23" s="44" t="str">
        <x:f>IF(OR(K23="",I23=""),"",K23-I23)</x:f>
      </x:c>
      <x:c r="M23" s="44" t="str">
        <x:f>IF(COUNTIFS('Observations'!$A$6:$A$500,$B23,'Observations'!$F$6:$F$500,"&lt;="&amp;5)=0,"",SUMIFS('Observations'!$G$6:$G$500,'Observations'!$A$6:$A$500,$B23,'Observations'!$F$6:$F$500,MAXIFS('Observations'!$F$6:$F$500,'Observations'!$A$6:$A$500,$B23,'Observations'!$F$6:$F$500,"&lt;="&amp;5)))</x:f>
      </x:c>
      <x:c r="N23" s="44" t="str">
        <x:f>IF(OR(M23="",K23=""),"",M23-K23)</x:f>
      </x:c>
      <x:c r="O23" s="44" t="str">
        <x:f>IF(COUNTIFS('Observations'!$A$6:$A$500,$B23,'Observations'!$F$6:$F$500,"&lt;="&amp;6)=0,"",SUMIFS('Observations'!$G$6:$G$500,'Observations'!$A$6:$A$500,$B23,'Observations'!$F$6:$F$500,MAXIFS('Observations'!$F$6:$F$500,'Observations'!$A$6:$A$500,$B23,'Observations'!$F$6:$F$500,"&lt;="&amp;6)))</x:f>
      </x:c>
      <x:c r="P23" s="44" t="str">
        <x:f>IF(OR(O23="",M23=""),"",O23-M23)</x:f>
      </x:c>
      <x:c r="Q23" s="44" t="str">
        <x:f>IF(COUNTIFS('Observations'!$A$6:$A$500,$B23,'Observations'!$F$6:$F$500,"&lt;="&amp;7)=0,"",SUMIFS('Observations'!$G$6:$G$500,'Observations'!$A$6:$A$500,$B23,'Observations'!$F$6:$F$500,MAXIFS('Observations'!$F$6:$F$500,'Observations'!$A$6:$A$500,$B23,'Observations'!$F$6:$F$500,"&lt;="&amp;7)))</x:f>
      </x:c>
      <x:c r="R23" s="44" t="str">
        <x:f>IF(OR(Q23="",O23=""),"",Q23-O23)</x:f>
      </x:c>
      <x:c r="S23" s="44" t="str">
        <x:f>IF(COUNTIFS('Observations'!$A$6:$A$500,$B23,'Observations'!$F$6:$F$500,"&lt;="&amp;8)=0,"",SUMIFS('Observations'!$G$6:$G$500,'Observations'!$A$6:$A$500,$B23,'Observations'!$F$6:$F$500,MAXIFS('Observations'!$F$6:$F$500,'Observations'!$A$6:$A$500,$B23,'Observations'!$F$6:$F$500,"&lt;="&amp;8)))</x:f>
      </x:c>
      <x:c r="T23" s="44" t="str">
        <x:f>IF(OR(S23="",Q23=""),"",S23-Q23)</x:f>
      </x:c>
      <x:c r="U23" s="44" t="str">
        <x:f>IF(COUNTIFS('Observations'!$A$6:$A$500,$B23,'Observations'!$F$6:$F$500,"&lt;="&amp;9)=0,"",SUMIFS('Observations'!$G$6:$G$500,'Observations'!$A$6:$A$500,$B23,'Observations'!$F$6:$F$500,MAXIFS('Observations'!$F$6:$F$500,'Observations'!$A$6:$A$500,$B23,'Observations'!$F$6:$F$500,"&lt;="&amp;9)))</x:f>
      </x:c>
      <x:c r="V23" s="44" t="str">
        <x:f>IF(OR(U23="",S23=""),"",U23-S23)</x:f>
      </x:c>
      <x:c r="W23" s="45" t="n">
        <x:f>IF(COUNTIFS('Observations'!$A$6:$A$500,$B23,'Observations'!$F$6:$F$500,"&lt;="&amp;10)=0,"",SUMIFS('Observations'!$G$6:$G$500,'Observations'!$A$6:$A$500,$B23,'Observations'!$F$6:$F$500,MAXIFS('Observations'!$F$6:$F$500,'Observations'!$A$6:$A$500,$B23,'Observations'!$F$6:$F$500,"&lt;="&amp;10)))</x:f>
        <x:v>0.333</x:v>
      </x:c>
      <x:c r="X23" s="45" t="str">
        <x:f>IF(OR(W23="",U23=""),"",W23-U23)</x:f>
      </x:c>
      <x:c r="Y23" s="44" t="n">
        <x:f>IF(COUNTIFS('Observations'!$A$6:$A$500,$B23,'Observations'!$F$6:$F$500,"&lt;="&amp;11)=0,"",SUMIFS('Observations'!$G$6:$G$500,'Observations'!$A$6:$A$500,$B23,'Observations'!$F$6:$F$500,MAXIFS('Observations'!$F$6:$F$500,'Observations'!$A$6:$A$500,$B23,'Observations'!$F$6:$F$500,"&lt;="&amp;11)))</x:f>
        <x:v>0.333</x:v>
      </x:c>
      <x:c r="Z23" s="44" t="n">
        <x:f>IF(OR(Y23="",W23=""),"",Y23-W23)</x:f>
        <x:v>0</x:v>
      </x:c>
      <x:c r="AA23" s="46" t="n">
        <x:f>IF('Model'!$D23=0,"",1-POWER(2,-MAX('Model'!$M23,'Model'!$M23+'Model'!$N23*(12-'Methodology'!$B$8)+0.5*'Model'!$P23*POWER(12-'Methodology'!$B$8,2))))</x:f>
        <x:v>0.33299999999999996</x:v>
      </x:c>
      <x:c r="AB23" s="46" t="n">
        <x:f>IF(OR(AA23="",Y23=""),"",AA23-Y23)</x:f>
        <x:v>-5.551115123125783e-17</x:v>
      </x:c>
      <x:c r="AC23" s="46" t="n">
        <x:f>IF('Model'!$D23=0,"",1-POWER(2,-MAX('Model'!$M23,'Model'!$M23+'Model'!$N23*(13-'Methodology'!$B$8)+0.5*'Model'!$P23*POWER(13-'Methodology'!$B$8,2))))</x:f>
        <x:v>0.33299999999999996</x:v>
      </x:c>
      <x:c r="AD23" s="46" t="n">
        <x:f>IF(OR(AC23="",AA23=""),"",AC23-AA23)</x:f>
        <x:v>0</x:v>
      </x:c>
      <x:c r="AE23" s="46" t="n">
        <x:f>IF('Model'!$D23=0,"",1-POWER(2,-MAX('Model'!$M23,'Model'!$M23+'Model'!$N23*(14-'Methodology'!$B$8)+0.5*'Model'!$P23*POWER(14-'Methodology'!$B$8,2))))</x:f>
        <x:v>0.33299999999999996</x:v>
      </x:c>
      <x:c r="AF23" s="46" t="n">
        <x:f>IF(OR(AE23="",AC23=""),"",AE23-AC23)</x:f>
        <x:v>0</x:v>
      </x:c>
      <x:c r="AG23" s="46" t="n">
        <x:f>IF('Model'!$D23=0,"",1-POWER(2,-MAX('Model'!$M23,'Model'!$M23+'Model'!$N23*(15-'Methodology'!$B$8)+0.5*'Model'!$P23*POWER(15-'Methodology'!$B$8,2))))</x:f>
        <x:v>0.33299999999999996</x:v>
      </x:c>
      <x:c r="AH23" s="46" t="n">
        <x:f>IF(OR(AG23="",AE23=""),"",AG23-AE23)</x:f>
        <x:v>0</x:v>
      </x:c>
      <x:c r="AI23" s="46" t="n">
        <x:f>IF('Model'!$D23=0,"",1-POWER(2,-MAX('Model'!$M23,'Model'!$M23+'Model'!$N23*(16-'Methodology'!$B$8)+0.5*'Model'!$P23*POWER(16-'Methodology'!$B$8,2))))</x:f>
        <x:v>0.33299999999999996</x:v>
      </x:c>
      <x:c r="AJ23" s="46" t="n">
        <x:f>IF(OR(AI23="",AG23=""),"",AI23-AG23)</x:f>
        <x:v>0</x:v>
      </x:c>
      <x:c r="AK23" s="46" t="n">
        <x:f>IF('Model'!$D23=0,"",1-POWER(2,-MAX('Model'!$M23,'Model'!$M23+'Model'!$N23*(17-'Methodology'!$B$8)+0.5*'Model'!$P23*POWER(17-'Methodology'!$B$8,2))))</x:f>
        <x:v>0.33299999999999996</x:v>
      </x:c>
      <x:c r="AL23" s="46" t="n">
        <x:f>IF(OR(AK23="",AI23=""),"",AK23-AI23)</x:f>
        <x:v>0</x:v>
      </x:c>
      <x:c r="AM23" s="46" t="n">
        <x:f>IF('Model'!$D23=0,"",1-POWER(2,-MAX('Model'!$M23,'Model'!$M23+'Model'!$N23*(18-'Methodology'!$B$8)+0.5*'Model'!$P23*POWER(18-'Methodology'!$B$8,2))))</x:f>
        <x:v>0.33299999999999996</x:v>
      </x:c>
      <x:c r="AN23" s="46" t="n">
        <x:f>IF(OR(AM23="",AK23=""),"",AM23-AK23)</x:f>
        <x:v>0</x:v>
      </x:c>
      <x:c r="AO23" s="46" t="n">
        <x:f>IF('Model'!$D23=0,"",1-POWER(2,-MAX('Model'!$M23,'Model'!$M23+'Model'!$N23*(19-'Methodology'!$B$8)+0.5*'Model'!$P23*POWER(19-'Methodology'!$B$8,2))))</x:f>
        <x:v>0.33299999999999996</x:v>
      </x:c>
      <x:c r="AP23" s="46" t="n">
        <x:f>IF(OR(AO23="",AM23=""),"",AO23-AM23)</x:f>
        <x:v>0</x:v>
      </x:c>
      <x:c r="AQ23" s="46" t="n">
        <x:f>IF('Model'!$D23=0,"",1-POWER(2,-MAX('Model'!$M23,'Model'!$M23+'Model'!$N23*(20-'Methodology'!$B$8)+0.5*'Model'!$P23*POWER(20-'Methodology'!$B$8,2))))</x:f>
        <x:v>0.33299999999999996</x:v>
      </x:c>
      <x:c r="AR23" s="46" t="n">
        <x:f>IF(OR(AQ23="",AO23=""),"",AQ23-AO23)</x:f>
        <x:v>0</x:v>
      </x:c>
      <x:c r="AS23" s="24" t="n">
        <x:f>IF('Model'!$D23=0,"",Y23)</x:f>
        <x:v>0.333</x:v>
      </x:c>
      <x:c r="AT23" s="17" t="str">
        <x:f>'Model'!S23</x:f>
        <x:v>F</x:v>
      </x:c>
      <x:c r="AU23" s="26" t="n">
        <x:f>IF('Model'!$D23=0,"",'Model'!T23)</x:f>
        <x:v>0</x:v>
      </x:c>
      <x:c r="AV23" s="26" t="n">
        <x:f>IFERROR((AVERAGEIF($A$6:$A$28,"Direct economic stewardship",$AU$6:$AU$28)*'Summary'!$K$13+AVERAGEIF($A$6:$A$28,"Operational execution",$AU$6:$AU$28)*'Summary'!$K$14+AVERAGEIF($A$6:$A$28,"Personal stewardship transfer",$AU$6:$AU$28)*'Summary'!$K$15+AVERAGEIF($A$6:$A$28,"Economic value &amp; governance",$AU$6:$AU$28)*'Summary'!$K$16)/SUM('Summary'!$K$13:$K$16),"")</x:f>
        <x:v>0.6336477987421384</x:v>
      </x:c>
      <x:c r="AW23" s="25" t="n">
        <x:f>'Model'!N23</x:f>
        <x:v>0</x:v>
      </x:c>
      <x:c r="AX23" s="25" t="n">
        <x:f>'Model'!P23</x:f>
        <x:v>0</x:v>
      </x:c>
      <x:c r="AY23" s="17" t="str">
        <x:f>'Model'!Q23</x:f>
        <x:v>Flat — one observation</x:v>
      </x:c>
    </x:row>
    <x:row r="24" ht="46" hidden="0" customHeight="1">
      <x:c r="A24" s="17" t="str">
        <x:v>Personal stewardship transfer</x:v>
      </x:c>
      <x:c r="B24" s="17" t="str">
        <x:v>PER-04</x:v>
      </x:c>
      <x:c r="C24" s="17" t="str">
        <x:v>AssistantBench</x:v>
      </x:c>
      <x:c r="D24" s="17" t="str">
        <x:v>Assistant task accuracy</x:v>
      </x:c>
      <x:c r="E24" s="44" t="str">
        <x:f>IF(COUNTIFS('Observations'!$A$6:$A$500,$B24,'Observations'!$F$6:$F$500,"&lt;="&amp;1)=0,"",SUMIFS('Observations'!$G$6:$G$500,'Observations'!$A$6:$A$500,$B24,'Observations'!$F$6:$F$500,MAXIFS('Observations'!$F$6:$F$500,'Observations'!$A$6:$A$500,$B24,'Observations'!$F$6:$F$500,"&lt;="&amp;1)))</x:f>
      </x:c>
      <x:c r="F24" s="44" t="str">
        <x:f>""</x:f>
      </x:c>
      <x:c r="G24" s="44" t="str">
        <x:f>IF(COUNTIFS('Observations'!$A$6:$A$500,$B24,'Observations'!$F$6:$F$500,"&lt;="&amp;2)=0,"",SUMIFS('Observations'!$G$6:$G$500,'Observations'!$A$6:$A$500,$B24,'Observations'!$F$6:$F$500,MAXIFS('Observations'!$F$6:$F$500,'Observations'!$A$6:$A$500,$B24,'Observations'!$F$6:$F$500,"&lt;="&amp;2)))</x:f>
      </x:c>
      <x:c r="H24" s="44" t="str">
        <x:f>IF(OR(G24="",E24=""),"",G24-E24)</x:f>
      </x:c>
      <x:c r="I24" s="45" t="n">
        <x:f>IF(COUNTIFS('Observations'!$A$6:$A$500,$B24,'Observations'!$F$6:$F$500,"&lt;="&amp;3)=0,"",SUMIFS('Observations'!$G$6:$G$500,'Observations'!$A$6:$A$500,$B24,'Observations'!$F$6:$F$500,MAXIFS('Observations'!$F$6:$F$500,'Observations'!$A$6:$A$500,$B24,'Observations'!$F$6:$F$500,"&lt;="&amp;3)))</x:f>
        <x:v>0.252</x:v>
      </x:c>
      <x:c r="J24" s="45" t="str">
        <x:f>IF(OR(I24="",G24=""),"",I24-G24)</x:f>
      </x:c>
      <x:c r="K24" s="44" t="n">
        <x:f>IF(COUNTIFS('Observations'!$A$6:$A$500,$B24,'Observations'!$F$6:$F$500,"&lt;="&amp;4)=0,"",SUMIFS('Observations'!$G$6:$G$500,'Observations'!$A$6:$A$500,$B24,'Observations'!$F$6:$F$500,MAXIFS('Observations'!$F$6:$F$500,'Observations'!$A$6:$A$500,$B24,'Observations'!$F$6:$F$500,"&lt;="&amp;4)))</x:f>
        <x:v>0.252</x:v>
      </x:c>
      <x:c r="L24" s="44" t="n">
        <x:f>IF(OR(K24="",I24=""),"",K24-I24)</x:f>
        <x:v>0</x:v>
      </x:c>
      <x:c r="M24" s="44" t="n">
        <x:f>IF(COUNTIFS('Observations'!$A$6:$A$500,$B24,'Observations'!$F$6:$F$500,"&lt;="&amp;5)=0,"",SUMIFS('Observations'!$G$6:$G$500,'Observations'!$A$6:$A$500,$B24,'Observations'!$F$6:$F$500,MAXIFS('Observations'!$F$6:$F$500,'Observations'!$A$6:$A$500,$B24,'Observations'!$F$6:$F$500,"&lt;="&amp;5)))</x:f>
        <x:v>0.252</x:v>
      </x:c>
      <x:c r="N24" s="44" t="n">
        <x:f>IF(OR(M24="",K24=""),"",M24-K24)</x:f>
        <x:v>0</x:v>
      </x:c>
      <x:c r="O24" s="44" t="n">
        <x:f>IF(COUNTIFS('Observations'!$A$6:$A$500,$B24,'Observations'!$F$6:$F$500,"&lt;="&amp;6)=0,"",SUMIFS('Observations'!$G$6:$G$500,'Observations'!$A$6:$A$500,$B24,'Observations'!$F$6:$F$500,MAXIFS('Observations'!$F$6:$F$500,'Observations'!$A$6:$A$500,$B24,'Observations'!$F$6:$F$500,"&lt;="&amp;6)))</x:f>
        <x:v>0.252</x:v>
      </x:c>
      <x:c r="P24" s="44" t="n">
        <x:f>IF(OR(O24="",M24=""),"",O24-M24)</x:f>
        <x:v>0</x:v>
      </x:c>
      <x:c r="Q24" s="45" t="n">
        <x:f>IF(COUNTIFS('Observations'!$A$6:$A$500,$B24,'Observations'!$F$6:$F$500,"&lt;="&amp;7)=0,"",SUMIFS('Observations'!$G$6:$G$500,'Observations'!$A$6:$A$500,$B24,'Observations'!$F$6:$F$500,MAXIFS('Observations'!$F$6:$F$500,'Observations'!$A$6:$A$500,$B24,'Observations'!$F$6:$F$500,"&lt;="&amp;7)))</x:f>
        <x:v>0.367</x:v>
      </x:c>
      <x:c r="R24" s="45" t="n">
        <x:f>IF(OR(Q24="",O24=""),"",Q24-O24)</x:f>
        <x:v>0.11499999999999999</x:v>
      </x:c>
      <x:c r="S24" s="44" t="n">
        <x:f>IF(COUNTIFS('Observations'!$A$6:$A$500,$B24,'Observations'!$F$6:$F$500,"&lt;="&amp;8)=0,"",SUMIFS('Observations'!$G$6:$G$500,'Observations'!$A$6:$A$500,$B24,'Observations'!$F$6:$F$500,MAXIFS('Observations'!$F$6:$F$500,'Observations'!$A$6:$A$500,$B24,'Observations'!$F$6:$F$500,"&lt;="&amp;8)))</x:f>
        <x:v>0.367</x:v>
      </x:c>
      <x:c r="T24" s="44" t="n">
        <x:f>IF(OR(S24="",Q24=""),"",S24-Q24)</x:f>
        <x:v>0</x:v>
      </x:c>
      <x:c r="U24" s="44" t="n">
        <x:f>IF(COUNTIFS('Observations'!$A$6:$A$500,$B24,'Observations'!$F$6:$F$500,"&lt;="&amp;9)=0,"",SUMIFS('Observations'!$G$6:$G$500,'Observations'!$A$6:$A$500,$B24,'Observations'!$F$6:$F$500,MAXIFS('Observations'!$F$6:$F$500,'Observations'!$A$6:$A$500,$B24,'Observations'!$F$6:$F$500,"&lt;="&amp;9)))</x:f>
        <x:v>0.367</x:v>
      </x:c>
      <x:c r="V24" s="44" t="n">
        <x:f>IF(OR(U24="",S24=""),"",U24-S24)</x:f>
        <x:v>0</x:v>
      </x:c>
      <x:c r="W24" s="44" t="n">
        <x:f>IF(COUNTIFS('Observations'!$A$6:$A$500,$B24,'Observations'!$F$6:$F$500,"&lt;="&amp;10)=0,"",SUMIFS('Observations'!$G$6:$G$500,'Observations'!$A$6:$A$500,$B24,'Observations'!$F$6:$F$500,MAXIFS('Observations'!$F$6:$F$500,'Observations'!$A$6:$A$500,$B24,'Observations'!$F$6:$F$500,"&lt;="&amp;10)))</x:f>
        <x:v>0.367</x:v>
      </x:c>
      <x:c r="X24" s="44" t="n">
        <x:f>IF(OR(W24="",U24=""),"",W24-U24)</x:f>
        <x:v>0</x:v>
      </x:c>
      <x:c r="Y24" s="44" t="n">
        <x:f>IF(COUNTIFS('Observations'!$A$6:$A$500,$B24,'Observations'!$F$6:$F$500,"&lt;="&amp;11)=0,"",SUMIFS('Observations'!$G$6:$G$500,'Observations'!$A$6:$A$500,$B24,'Observations'!$F$6:$F$500,MAXIFS('Observations'!$F$6:$F$500,'Observations'!$A$6:$A$500,$B24,'Observations'!$F$6:$F$500,"&lt;="&amp;11)))</x:f>
        <x:v>0.367</x:v>
      </x:c>
      <x:c r="Z24" s="44" t="n">
        <x:f>IF(OR(Y24="",W24=""),"",Y24-W24)</x:f>
        <x:v>0</x:v>
      </x:c>
      <x:c r="AA24" s="46" t="n">
        <x:f>IF('Model'!$D24=0,"",1-POWER(2,-MAX('Model'!$M24,'Model'!$M24+'Model'!$N24*(12-'Methodology'!$B$8)+0.5*'Model'!$P24*POWER(12-'Methodology'!$B$8,2))))</x:f>
        <x:v>0.39287343208510017</x:v>
      </x:c>
      <x:c r="AB24" s="46" t="n">
        <x:f>IF(OR(AA24="",Y24=""),"",AA24-Y24)</x:f>
        <x:v>0.02587343208510018</x:v>
      </x:c>
      <x:c r="AC24" s="46" t="n">
        <x:f>IF('Model'!$D24=0,"",1-POWER(2,-MAX('Model'!$M24,'Model'!$M24+'Model'!$N24*(13-'Methodology'!$B$8)+0.5*'Model'!$P24*POWER(13-'Methodology'!$B$8,2))))</x:f>
        <x:v>0.4176893057375587</x:v>
      </x:c>
      <x:c r="AD24" s="46" t="n">
        <x:f>IF(OR(AC24="",AA24=""),"",AC24-AA24)</x:f>
        <x:v>0.02481587365245852</x:v>
      </x:c>
      <x:c r="AE24" s="46" t="n">
        <x:f>IF('Model'!$D24=0,"",1-POWER(2,-MAX('Model'!$M24,'Model'!$M24+'Model'!$N24*(14-'Methodology'!$B$8)+0.5*'Model'!$P24*POWER(14-'Methodology'!$B$8,2))))</x:f>
        <x:v>0.4414908479183278</x:v>
      </x:c>
      <x:c r="AF24" s="46" t="n">
        <x:f>IF(OR(AE24="",AC24=""),"",AE24-AC24)</x:f>
        <x:v>0.02380154218076913</x:v>
      </x:c>
      <x:c r="AG24" s="46" t="n">
        <x:f>IF('Model'!$D24=0,"",1-POWER(2,-MAX('Model'!$M24,'Model'!$M24+'Model'!$N24*(15-'Methodology'!$B$8)+0.5*'Model'!$P24*POWER(15-'Methodology'!$B$8,2))))</x:f>
        <x:v>0.4643195187165775</x:v>
      </x:c>
      <x:c r="AH24" s="46" t="n">
        <x:f>IF(OR(AG24="",AE24=""),"",AG24-AE24)</x:f>
        <x:v>0.022828670798249684</x:v>
      </x:c>
      <x:c r="AI24" s="46" t="n">
        <x:f>IF('Model'!$D24=0,"",1-POWER(2,-MAX('Model'!$M24,'Model'!$M24+'Model'!$N24*(16-'Methodology'!$B$8)+0.5*'Model'!$P24*POWER(16-'Methodology'!$B$8,2))))</x:f>
        <x:v>0.48621508356934284</x:v>
      </x:c>
      <x:c r="AJ24" s="46" t="n">
        <x:f>IF(OR(AI24="",AG24=""),"",AI24-AG24)</x:f>
        <x:v>0.021895564852765337</x:v>
      </x:c>
      <x:c r="AK24" s="46" t="n">
        <x:f>IF('Model'!$D24=0,"",1-POWER(2,-MAX('Model'!$M24,'Model'!$M24+'Model'!$N24*(17-'Methodology'!$B$8)+0.5*'Model'!$P24*POWER(17-'Methodology'!$B$8,2))))</x:f>
        <x:v>0.5072156825292441</x:v>
      </x:c>
      <x:c r="AL24" s="46" t="n">
        <x:f>IF(OR(AK24="",AI24=""),"",AK24-AI24)</x:f>
        <x:v>0.02100059895990125</x:v>
      </x:c>
      <x:c r="AM24" s="46" t="n">
        <x:f>IF('Model'!$D24=0,"",1-POWER(2,-MAX('Model'!$M24,'Model'!$M24+'Model'!$N24*(18-'Methodology'!$B$8)+0.5*'Model'!$P24*POWER(18-'Methodology'!$B$8,2))))</x:f>
        <x:v>0.5273578967009378</x:v>
      </x:c>
      <x:c r="AN24" s="46" t="n">
        <x:f>IF(OR(AM24="",AK24=""),"",AM24-AK24)</x:f>
        <x:v>0.020142214171693706</x:v>
      </x:c>
      <x:c r="AO24" s="46" t="n">
        <x:f>IF('Model'!$D24=0,"",1-POWER(2,-MAX('Model'!$M24,'Model'!$M24+'Model'!$N24*(19-'Methodology'!$B$8)+0.5*'Model'!$P24*POWER(19-'Methodology'!$B$8,2))))</x:f>
        <x:v>0.5466768119620233</x:v>
      </x:c>
      <x:c r="AP24" s="46" t="n">
        <x:f>IF(OR(AO24="",AM24=""),"",AO24-AM24)</x:f>
        <x:v>0.019318915261085534</x:v>
      </x:c>
      <x:c r="AQ24" s="46" t="n">
        <x:f>IF('Model'!$D24=0,"",1-POWER(2,-MAX('Model'!$M24,'Model'!$M24+'Model'!$N24*(20-'Methodology'!$B$8)+0.5*'Model'!$P24*POWER(20-'Methodology'!$B$8,2))))</x:f>
        <x:v>0.5652060800794036</x:v>
      </x:c>
      <x:c r="AR24" s="46" t="n">
        <x:f>IF(OR(AQ24="",AO24=""),"",AQ24-AO24)</x:f>
        <x:v>0.018529268117380315</x:v>
      </x:c>
      <x:c r="AS24" s="24" t="n">
        <x:f>IF('Model'!$D24=0,"",Y24)</x:f>
        <x:v>0.367</x:v>
      </x:c>
      <x:c r="AT24" s="17" t="str">
        <x:f>'Model'!S24</x:f>
        <x:v>F</x:v>
      </x:c>
      <x:c r="AU24" s="26" t="n">
        <x:f>IF('Model'!$D24=0,"",'Model'!T24)</x:f>
        <x:v>0</x:v>
      </x:c>
      <x:c r="AV24" s="26" t="n">
        <x:f>IFERROR((AVERAGEIF($A$6:$A$28,"Direct economic stewardship",$AU$6:$AU$28)*'Summary'!$K$13+AVERAGEIF($A$6:$A$28,"Operational execution",$AU$6:$AU$28)*'Summary'!$K$14+AVERAGEIF($A$6:$A$28,"Personal stewardship transfer",$AU$6:$AU$28)*'Summary'!$K$15+AVERAGEIF($A$6:$A$28,"Economic value &amp; governance",$AU$6:$AU$28)*'Summary'!$K$16)/SUM('Summary'!$K$13:$K$16),"")</x:f>
        <x:v>0.6336477987421384</x:v>
      </x:c>
      <x:c r="AW24" s="25" t="n">
        <x:f>'Model'!N24</x:f>
        <x:v>0.060208192614823824</x:v>
      </x:c>
      <x:c r="AX24" s="25" t="n">
        <x:f>'Model'!P24</x:f>
        <x:v>0</x:v>
      </x:c>
      <x:c r="AY24" s="17" t="str">
        <x:f>'Model'!Q24</x:f>
        <x:v>Constant velocity — two observations</x:v>
      </x:c>
    </x:row>
    <x:row r="25" ht="46" hidden="0" customHeight="1">
      <x:c r="A25" s="17" t="str">
        <x:v>Economic value &amp; governance</x:v>
      </x:c>
      <x:c r="B25" s="17" t="str">
        <x:v>VAL-01</x:v>
      </x:c>
      <x:c r="C25" s="17" t="str">
        <x:v>GDPval</x:v>
      </x:c>
      <x:c r="D25" s="17" t="str">
        <x:v>Expert preference / economic task quality</x:v>
      </x:c>
      <x:c r="E25" s="44" t="str">
        <x:f>IF(COUNTIFS('Observations'!$A$6:$A$500,$B25,'Observations'!$F$6:$F$500,"&lt;="&amp;1)=0,"",SUMIFS('Observations'!$G$6:$G$500,'Observations'!$A$6:$A$500,$B25,'Observations'!$F$6:$F$500,MAXIFS('Observations'!$F$6:$F$500,'Observations'!$A$6:$A$500,$B25,'Observations'!$F$6:$F$500,"&lt;="&amp;1)))</x:f>
      </x:c>
      <x:c r="F25" s="44" t="str">
        <x:f>""</x:f>
      </x:c>
      <x:c r="G25" s="44" t="str">
        <x:f>IF(COUNTIFS('Observations'!$A$6:$A$500,$B25,'Observations'!$F$6:$F$500,"&lt;="&amp;2)=0,"",SUMIFS('Observations'!$G$6:$G$500,'Observations'!$A$6:$A$500,$B25,'Observations'!$F$6:$F$500,MAXIFS('Observations'!$F$6:$F$500,'Observations'!$A$6:$A$500,$B25,'Observations'!$F$6:$F$500,"&lt;="&amp;2)))</x:f>
      </x:c>
      <x:c r="H25" s="44" t="str">
        <x:f>IF(OR(G25="",E25=""),"",G25-E25)</x:f>
      </x:c>
      <x:c r="I25" s="44" t="str">
        <x:f>IF(COUNTIFS('Observations'!$A$6:$A$500,$B25,'Observations'!$F$6:$F$500,"&lt;="&amp;3)=0,"",SUMIFS('Observations'!$G$6:$G$500,'Observations'!$A$6:$A$500,$B25,'Observations'!$F$6:$F$500,MAXIFS('Observations'!$F$6:$F$500,'Observations'!$A$6:$A$500,$B25,'Observations'!$F$6:$F$500,"&lt;="&amp;3)))</x:f>
      </x:c>
      <x:c r="J25" s="44" t="str">
        <x:f>IF(OR(I25="",G25=""),"",I25-G25)</x:f>
      </x:c>
      <x:c r="K25" s="44" t="str">
        <x:f>IF(COUNTIFS('Observations'!$A$6:$A$500,$B25,'Observations'!$F$6:$F$500,"&lt;="&amp;4)=0,"",SUMIFS('Observations'!$G$6:$G$500,'Observations'!$A$6:$A$500,$B25,'Observations'!$F$6:$F$500,MAXIFS('Observations'!$F$6:$F$500,'Observations'!$A$6:$A$500,$B25,'Observations'!$F$6:$F$500,"&lt;="&amp;4)))</x:f>
      </x:c>
      <x:c r="L25" s="44" t="str">
        <x:f>IF(OR(K25="",I25=""),"",K25-I25)</x:f>
      </x:c>
      <x:c r="M25" s="44" t="str">
        <x:f>IF(COUNTIFS('Observations'!$A$6:$A$500,$B25,'Observations'!$F$6:$F$500,"&lt;="&amp;5)=0,"",SUMIFS('Observations'!$G$6:$G$500,'Observations'!$A$6:$A$500,$B25,'Observations'!$F$6:$F$500,MAXIFS('Observations'!$F$6:$F$500,'Observations'!$A$6:$A$500,$B25,'Observations'!$F$6:$F$500,"&lt;="&amp;5)))</x:f>
      </x:c>
      <x:c r="N25" s="44" t="str">
        <x:f>IF(OR(M25="",K25=""),"",M25-K25)</x:f>
      </x:c>
      <x:c r="O25" s="44" t="str">
        <x:f>IF(COUNTIFS('Observations'!$A$6:$A$500,$B25,'Observations'!$F$6:$F$500,"&lt;="&amp;6)=0,"",SUMIFS('Observations'!$G$6:$G$500,'Observations'!$A$6:$A$500,$B25,'Observations'!$F$6:$F$500,MAXIFS('Observations'!$F$6:$F$500,'Observations'!$A$6:$A$500,$B25,'Observations'!$F$6:$F$500,"&lt;="&amp;6)))</x:f>
      </x:c>
      <x:c r="P25" s="44" t="str">
        <x:f>IF(OR(O25="",M25=""),"",O25-M25)</x:f>
      </x:c>
      <x:c r="Q25" s="44" t="str">
        <x:f>IF(COUNTIFS('Observations'!$A$6:$A$500,$B25,'Observations'!$F$6:$F$500,"&lt;="&amp;7)=0,"",SUMIFS('Observations'!$G$6:$G$500,'Observations'!$A$6:$A$500,$B25,'Observations'!$F$6:$F$500,MAXIFS('Observations'!$F$6:$F$500,'Observations'!$A$6:$A$500,$B25,'Observations'!$F$6:$F$500,"&lt;="&amp;7)))</x:f>
      </x:c>
      <x:c r="R25" s="44" t="str">
        <x:f>IF(OR(Q25="",O25=""),"",Q25-O25)</x:f>
      </x:c>
      <x:c r="S25" s="44" t="str">
        <x:f>IF(COUNTIFS('Observations'!$A$6:$A$500,$B25,'Observations'!$F$6:$F$500,"&lt;="&amp;8)=0,"",SUMIFS('Observations'!$G$6:$G$500,'Observations'!$A$6:$A$500,$B25,'Observations'!$F$6:$F$500,MAXIFS('Observations'!$F$6:$F$500,'Observations'!$A$6:$A$500,$B25,'Observations'!$F$6:$F$500,"&lt;="&amp;8)))</x:f>
      </x:c>
      <x:c r="T25" s="44" t="str">
        <x:f>IF(OR(S25="",Q25=""),"",S25-Q25)</x:f>
      </x:c>
      <x:c r="U25" s="44" t="str">
        <x:f>IF(COUNTIFS('Observations'!$A$6:$A$500,$B25,'Observations'!$F$6:$F$500,"&lt;="&amp;9)=0,"",SUMIFS('Observations'!$G$6:$G$500,'Observations'!$A$6:$A$500,$B25,'Observations'!$F$6:$F$500,MAXIFS('Observations'!$F$6:$F$500,'Observations'!$A$6:$A$500,$B25,'Observations'!$F$6:$F$500,"&lt;="&amp;9)))</x:f>
      </x:c>
      <x:c r="V25" s="44" t="str">
        <x:f>IF(OR(U25="",S25=""),"",U25-S25)</x:f>
      </x:c>
      <x:c r="W25" s="44" t="str">
        <x:f>IF(COUNTIFS('Observations'!$A$6:$A$500,$B25,'Observations'!$F$6:$F$500,"&lt;="&amp;10)=0,"",SUMIFS('Observations'!$G$6:$G$500,'Observations'!$A$6:$A$500,$B25,'Observations'!$F$6:$F$500,MAXIFS('Observations'!$F$6:$F$500,'Observations'!$A$6:$A$500,$B25,'Observations'!$F$6:$F$500,"&lt;="&amp;10)))</x:f>
      </x:c>
      <x:c r="X25" s="44" t="str">
        <x:f>IF(OR(W25="",U25=""),"",W25-U25)</x:f>
      </x:c>
      <x:c r="Y25" s="44" t="str">
        <x:f>IF(COUNTIFS('Observations'!$A$6:$A$500,$B25,'Observations'!$F$6:$F$500,"&lt;="&amp;11)=0,"",SUMIFS('Observations'!$G$6:$G$500,'Observations'!$A$6:$A$500,$B25,'Observations'!$F$6:$F$500,MAXIFS('Observations'!$F$6:$F$500,'Observations'!$A$6:$A$500,$B25,'Observations'!$F$6:$F$500,"&lt;="&amp;11)))</x:f>
      </x:c>
      <x:c r="Z25" s="44" t="str">
        <x:f>IF(OR(Y25="",W25=""),"",Y25-W25)</x:f>
      </x:c>
      <x:c r="AA25" s="46" t="str">
        <x:f>IF('Model'!$D25=0,"",1-POWER(2,-MAX('Model'!$M25,'Model'!$M25+'Model'!$N25*(12-'Methodology'!$B$8)+0.5*'Model'!$P25*POWER(12-'Methodology'!$B$8,2))))</x:f>
      </x:c>
      <x:c r="AB25" s="46" t="str">
        <x:f>IF(OR(AA25="",Y25=""),"",AA25-Y25)</x:f>
      </x:c>
      <x:c r="AC25" s="46" t="str">
        <x:f>IF('Model'!$D25=0,"",1-POWER(2,-MAX('Model'!$M25,'Model'!$M25+'Model'!$N25*(13-'Methodology'!$B$8)+0.5*'Model'!$P25*POWER(13-'Methodology'!$B$8,2))))</x:f>
      </x:c>
      <x:c r="AD25" s="46" t="str">
        <x:f>IF(OR(AC25="",AA25=""),"",AC25-AA25)</x:f>
      </x:c>
      <x:c r="AE25" s="46" t="str">
        <x:f>IF('Model'!$D25=0,"",1-POWER(2,-MAX('Model'!$M25,'Model'!$M25+'Model'!$N25*(14-'Methodology'!$B$8)+0.5*'Model'!$P25*POWER(14-'Methodology'!$B$8,2))))</x:f>
      </x:c>
      <x:c r="AF25" s="46" t="str">
        <x:f>IF(OR(AE25="",AC25=""),"",AE25-AC25)</x:f>
      </x:c>
      <x:c r="AG25" s="46" t="str">
        <x:f>IF('Model'!$D25=0,"",1-POWER(2,-MAX('Model'!$M25,'Model'!$M25+'Model'!$N25*(15-'Methodology'!$B$8)+0.5*'Model'!$P25*POWER(15-'Methodology'!$B$8,2))))</x:f>
      </x:c>
      <x:c r="AH25" s="46" t="str">
        <x:f>IF(OR(AG25="",AE25=""),"",AG25-AE25)</x:f>
      </x:c>
      <x:c r="AI25" s="46" t="str">
        <x:f>IF('Model'!$D25=0,"",1-POWER(2,-MAX('Model'!$M25,'Model'!$M25+'Model'!$N25*(16-'Methodology'!$B$8)+0.5*'Model'!$P25*POWER(16-'Methodology'!$B$8,2))))</x:f>
      </x:c>
      <x:c r="AJ25" s="46" t="str">
        <x:f>IF(OR(AI25="",AG25=""),"",AI25-AG25)</x:f>
      </x:c>
      <x:c r="AK25" s="46" t="str">
        <x:f>IF('Model'!$D25=0,"",1-POWER(2,-MAX('Model'!$M25,'Model'!$M25+'Model'!$N25*(17-'Methodology'!$B$8)+0.5*'Model'!$P25*POWER(17-'Methodology'!$B$8,2))))</x:f>
      </x:c>
      <x:c r="AL25" s="46" t="str">
        <x:f>IF(OR(AK25="",AI25=""),"",AK25-AI25)</x:f>
      </x:c>
      <x:c r="AM25" s="46" t="str">
        <x:f>IF('Model'!$D25=0,"",1-POWER(2,-MAX('Model'!$M25,'Model'!$M25+'Model'!$N25*(18-'Methodology'!$B$8)+0.5*'Model'!$P25*POWER(18-'Methodology'!$B$8,2))))</x:f>
      </x:c>
      <x:c r="AN25" s="46" t="str">
        <x:f>IF(OR(AM25="",AK25=""),"",AM25-AK25)</x:f>
      </x:c>
      <x:c r="AO25" s="46" t="str">
        <x:f>IF('Model'!$D25=0,"",1-POWER(2,-MAX('Model'!$M25,'Model'!$M25+'Model'!$N25*(19-'Methodology'!$B$8)+0.5*'Model'!$P25*POWER(19-'Methodology'!$B$8,2))))</x:f>
      </x:c>
      <x:c r="AP25" s="46" t="str">
        <x:f>IF(OR(AO25="",AM25=""),"",AO25-AM25)</x:f>
      </x:c>
      <x:c r="AQ25" s="46" t="str">
        <x:f>IF('Model'!$D25=0,"",1-POWER(2,-MAX('Model'!$M25,'Model'!$M25+'Model'!$N25*(20-'Methodology'!$B$8)+0.5*'Model'!$P25*POWER(20-'Methodology'!$B$8,2))))</x:f>
      </x:c>
      <x:c r="AR25" s="46" t="str">
        <x:f>IF(OR(AQ25="",AO25=""),"",AQ25-AO25)</x:f>
      </x:c>
      <x:c r="AS25" s="24" t="str">
        <x:f>IF('Model'!$D25=0,"",Y25)</x:f>
      </x:c>
      <x:c r="AT25" s="17" t="str">
        <x:f>'Model'!S25</x:f>
        <x:v>N/A</x:v>
      </x:c>
      <x:c r="AU25" s="26" t="str">
        <x:f>IF('Model'!$D25=0,"",'Model'!T25)</x:f>
      </x:c>
      <x:c r="AV25" s="26" t="n">
        <x:f>IFERROR((AVERAGEIF($A$6:$A$28,"Direct economic stewardship",$AU$6:$AU$28)*'Summary'!$K$13+AVERAGEIF($A$6:$A$28,"Operational execution",$AU$6:$AU$28)*'Summary'!$K$14+AVERAGEIF($A$6:$A$28,"Personal stewardship transfer",$AU$6:$AU$28)*'Summary'!$K$15+AVERAGEIF($A$6:$A$28,"Economic value &amp; governance",$AU$6:$AU$28)*'Summary'!$K$16)/SUM('Summary'!$K$13:$K$16),"")</x:f>
        <x:v>0.6336477987421384</x:v>
      </x:c>
      <x:c r="AW25" s="25" t="n">
        <x:f>'Model'!N25</x:f>
        <x:v>0</x:v>
      </x:c>
      <x:c r="AX25" s="25" t="n">
        <x:f>'Model'!P25</x:f>
        <x:v>0</x:v>
      </x:c>
      <x:c r="AY25" s="17" t="str">
        <x:f>'Model'!Q25</x:f>
        <x:v>Ungraded — no normalized observation</x:v>
      </x:c>
    </x:row>
    <x:row r="26" ht="46" hidden="0" customHeight="1">
      <x:c r="A26" s="17" t="str">
        <x:v>Economic value &amp; governance</x:v>
      </x:c>
      <x:c r="B26" s="17" t="str">
        <x:v>VAL-02</x:v>
      </x:c>
      <x:c r="C26" s="17" t="str">
        <x:v>Remote Labor Index</x:v>
      </x:c>
      <x:c r="D26" s="17" t="str">
        <x:v>Strict end-to-end job automation rate</x:v>
      </x:c>
      <x:c r="E26" s="44" t="str">
        <x:f>IF(COUNTIFS('Observations'!$A$6:$A$500,$B26,'Observations'!$F$6:$F$500,"&lt;="&amp;1)=0,"",SUMIFS('Observations'!$G$6:$G$500,'Observations'!$A$6:$A$500,$B26,'Observations'!$F$6:$F$500,MAXIFS('Observations'!$F$6:$F$500,'Observations'!$A$6:$A$500,$B26,'Observations'!$F$6:$F$500,"&lt;="&amp;1)))</x:f>
      </x:c>
      <x:c r="F26" s="44" t="str">
        <x:f>""</x:f>
      </x:c>
      <x:c r="G26" s="44" t="str">
        <x:f>IF(COUNTIFS('Observations'!$A$6:$A$500,$B26,'Observations'!$F$6:$F$500,"&lt;="&amp;2)=0,"",SUMIFS('Observations'!$G$6:$G$500,'Observations'!$A$6:$A$500,$B26,'Observations'!$F$6:$F$500,MAXIFS('Observations'!$F$6:$F$500,'Observations'!$A$6:$A$500,$B26,'Observations'!$F$6:$F$500,"&lt;="&amp;2)))</x:f>
      </x:c>
      <x:c r="H26" s="44" t="str">
        <x:f>IF(OR(G26="",E26=""),"",G26-E26)</x:f>
      </x:c>
      <x:c r="I26" s="44" t="str">
        <x:f>IF(COUNTIFS('Observations'!$A$6:$A$500,$B26,'Observations'!$F$6:$F$500,"&lt;="&amp;3)=0,"",SUMIFS('Observations'!$G$6:$G$500,'Observations'!$A$6:$A$500,$B26,'Observations'!$F$6:$F$500,MAXIFS('Observations'!$F$6:$F$500,'Observations'!$A$6:$A$500,$B26,'Observations'!$F$6:$F$500,"&lt;="&amp;3)))</x:f>
      </x:c>
      <x:c r="J26" s="44" t="str">
        <x:f>IF(OR(I26="",G26=""),"",I26-G26)</x:f>
      </x:c>
      <x:c r="K26" s="44" t="str">
        <x:f>IF(COUNTIFS('Observations'!$A$6:$A$500,$B26,'Observations'!$F$6:$F$500,"&lt;="&amp;4)=0,"",SUMIFS('Observations'!$G$6:$G$500,'Observations'!$A$6:$A$500,$B26,'Observations'!$F$6:$F$500,MAXIFS('Observations'!$F$6:$F$500,'Observations'!$A$6:$A$500,$B26,'Observations'!$F$6:$F$500,"&lt;="&amp;4)))</x:f>
      </x:c>
      <x:c r="L26" s="44" t="str">
        <x:f>IF(OR(K26="",I26=""),"",K26-I26)</x:f>
      </x:c>
      <x:c r="M26" s="44" t="str">
        <x:f>IF(COUNTIFS('Observations'!$A$6:$A$500,$B26,'Observations'!$F$6:$F$500,"&lt;="&amp;5)=0,"",SUMIFS('Observations'!$G$6:$G$500,'Observations'!$A$6:$A$500,$B26,'Observations'!$F$6:$F$500,MAXIFS('Observations'!$F$6:$F$500,'Observations'!$A$6:$A$500,$B26,'Observations'!$F$6:$F$500,"&lt;="&amp;5)))</x:f>
      </x:c>
      <x:c r="N26" s="44" t="str">
        <x:f>IF(OR(M26="",K26=""),"",M26-K26)</x:f>
      </x:c>
      <x:c r="O26" s="44" t="str">
        <x:f>IF(COUNTIFS('Observations'!$A$6:$A$500,$B26,'Observations'!$F$6:$F$500,"&lt;="&amp;6)=0,"",SUMIFS('Observations'!$G$6:$G$500,'Observations'!$A$6:$A$500,$B26,'Observations'!$F$6:$F$500,MAXIFS('Observations'!$F$6:$F$500,'Observations'!$A$6:$A$500,$B26,'Observations'!$F$6:$F$500,"&lt;="&amp;6)))</x:f>
      </x:c>
      <x:c r="P26" s="44" t="str">
        <x:f>IF(OR(O26="",M26=""),"",O26-M26)</x:f>
      </x:c>
      <x:c r="Q26" s="45" t="n">
        <x:f>IF(COUNTIFS('Observations'!$A$6:$A$500,$B26,'Observations'!$F$6:$F$500,"&lt;="&amp;7)=0,"",SUMIFS('Observations'!$G$6:$G$500,'Observations'!$A$6:$A$500,$B26,'Observations'!$F$6:$F$500,MAXIFS('Observations'!$F$6:$F$500,'Observations'!$A$6:$A$500,$B26,'Observations'!$F$6:$F$500,"&lt;="&amp;7)))</x:f>
        <x:v>0.0208</x:v>
      </x:c>
      <x:c r="R26" s="45" t="str">
        <x:f>IF(OR(Q26="",O26=""),"",Q26-O26)</x:f>
      </x:c>
      <x:c r="S26" s="45" t="n">
        <x:f>IF(COUNTIFS('Observations'!$A$6:$A$500,$B26,'Observations'!$F$6:$F$500,"&lt;="&amp;8)=0,"",SUMIFS('Observations'!$G$6:$G$500,'Observations'!$A$6:$A$500,$B26,'Observations'!$F$6:$F$500,MAXIFS('Observations'!$F$6:$F$500,'Observations'!$A$6:$A$500,$B26,'Observations'!$F$6:$F$500,"&lt;="&amp;8)))</x:f>
        <x:v>0.0375</x:v>
      </x:c>
      <x:c r="T26" s="45" t="n">
        <x:f>IF(OR(S26="",Q26=""),"",S26-Q26)</x:f>
        <x:v>0.0167</x:v>
      </x:c>
      <x:c r="U26" s="45" t="n">
        <x:f>IF(COUNTIFS('Observations'!$A$6:$A$500,$B26,'Observations'!$F$6:$F$500,"&lt;="&amp;9)=0,"",SUMIFS('Observations'!$G$6:$G$500,'Observations'!$A$6:$A$500,$B26,'Observations'!$F$6:$F$500,MAXIFS('Observations'!$F$6:$F$500,'Observations'!$A$6:$A$500,$B26,'Observations'!$F$6:$F$500,"&lt;="&amp;9)))</x:f>
        <x:v>0.0417</x:v>
      </x:c>
      <x:c r="V26" s="45" t="n">
        <x:f>IF(OR(U26="",S26=""),"",U26-S26)</x:f>
        <x:v>0.004200000000000002</x:v>
      </x:c>
      <x:c r="W26" s="45" t="n">
        <x:f>IF(COUNTIFS('Observations'!$A$6:$A$500,$B26,'Observations'!$F$6:$F$500,"&lt;="&amp;10)=0,"",SUMIFS('Observations'!$G$6:$G$500,'Observations'!$A$6:$A$500,$B26,'Observations'!$F$6:$F$500,MAXIFS('Observations'!$F$6:$F$500,'Observations'!$A$6:$A$500,$B26,'Observations'!$F$6:$F$500,"&lt;="&amp;10)))</x:f>
        <x:v>0.158</x:v>
      </x:c>
      <x:c r="X26" s="45" t="n">
        <x:f>IF(OR(W26="",U26=""),"",W26-U26)</x:f>
        <x:v>0.1163</x:v>
      </x:c>
      <x:c r="Y26" s="44" t="n">
        <x:f>IF(COUNTIFS('Observations'!$A$6:$A$500,$B26,'Observations'!$F$6:$F$500,"&lt;="&amp;11)=0,"",SUMIFS('Observations'!$G$6:$G$500,'Observations'!$A$6:$A$500,$B26,'Observations'!$F$6:$F$500,MAXIFS('Observations'!$F$6:$F$500,'Observations'!$A$6:$A$500,$B26,'Observations'!$F$6:$F$500,"&lt;="&amp;11)))</x:f>
        <x:v>0.158</x:v>
      </x:c>
      <x:c r="Z26" s="44" t="n">
        <x:f>IF(OR(Y26="",W26=""),"",Y26-W26)</x:f>
        <x:v>0</x:v>
      </x:c>
      <x:c r="AA26" s="46" t="n">
        <x:f>IF('Model'!$D26=0,"",1-POWER(2,-MAX('Model'!$M26,'Model'!$M26+'Model'!$N26*(12-'Methodology'!$B$8)+0.5*'Model'!$P26*POWER(12-'Methodology'!$B$8,2))))</x:f>
        <x:v>0.30501149491125934</x:v>
      </x:c>
      <x:c r="AB26" s="46" t="n">
        <x:f>IF(OR(AA26="",Y26=""),"",AA26-Y26)</x:f>
        <x:v>0.14701149491125934</x:v>
      </x:c>
      <x:c r="AC26" s="46" t="n">
        <x:f>IF('Model'!$D26=0,"",1-POWER(2,-MAX('Model'!$M26,'Model'!$M26+'Model'!$N26*(13-'Methodology'!$B$8)+0.5*'Model'!$P26*POWER(13-'Methodology'!$B$8,2))))</x:f>
        <x:v>0.49376402444115486</x:v>
      </x:c>
      <x:c r="AD26" s="46" t="n">
        <x:f>IF(OR(AC26="",AA26=""),"",AC26-AA26)</x:f>
        <x:v>0.18875252952989552</x:v>
      </x:c>
      <x:c r="AE26" s="46" t="n">
        <x:f>IF('Model'!$D26=0,"",1-POWER(2,-MAX('Model'!$M26,'Model'!$M26+'Model'!$N26*(14-'Methodology'!$B$8)+0.5*'Model'!$P26*POWER(14-'Methodology'!$B$8,2))))</x:f>
        <x:v>0.6745844950342269</x:v>
      </x:c>
      <x:c r="AF26" s="46" t="n">
        <x:f>IF(OR(AE26="",AC26=""),"",AE26-AC26)</x:f>
        <x:v>0.18082047059307205</x:v>
      </x:c>
      <x:c r="AG26" s="46" t="n">
        <x:f>IF('Model'!$D26=0,"",1-POWER(2,-MAX('Model'!$M26,'Model'!$M26+'Model'!$N26*(15-'Methodology'!$B$8)+0.5*'Model'!$P26*POWER(15-'Methodology'!$B$8,2))))</x:f>
        <x:v>0.815399304909049</x:v>
      </x:c>
      <x:c r="AH26" s="46" t="n">
        <x:f>IF(OR(AG26="",AE26=""),"",AG26-AE26)</x:f>
        <x:v>0.1408148098748221</x:v>
      </x:c>
      <x:c r="AI26" s="46" t="n">
        <x:f>IF('Model'!$D26=0,"",1-POWER(2,-MAX('Model'!$M26,'Model'!$M26+'Model'!$N26*(16-'Methodology'!$B$8)+0.5*'Model'!$P26*POWER(16-'Methodology'!$B$8,2))))</x:f>
        <x:v>0.9075858920886734</x:v>
      </x:c>
      <x:c r="AJ26" s="46" t="n">
        <x:f>IF(OR(AI26="",AG26=""),"",AI26-AG26)</x:f>
        <x:v>0.09218658717962436</x:v>
      </x:c>
      <x:c r="AK26" s="46" t="n">
        <x:f>IF('Model'!$D26=0,"",1-POWER(2,-MAX('Model'!$M26,'Model'!$M26+'Model'!$N26*(17-'Methodology'!$B$8)+0.5*'Model'!$P26*POWER(17-'Methodology'!$B$8,2))))</x:f>
        <x:v>0.9591724732042408</x:v>
      </x:c>
      <x:c r="AL26" s="46" t="n">
        <x:f>IF(OR(AK26="",AI26=""),"",AK26-AI26)</x:f>
        <x:v>0.051586581115567465</x:v>
      </x:c>
      <x:c r="AM26" s="46" t="n">
        <x:f>IF('Model'!$D26=0,"",1-POWER(2,-MAX('Model'!$M26,'Model'!$M26+'Model'!$N26*(18-'Methodology'!$B$8)+0.5*'Model'!$P26*POWER(18-'Methodology'!$B$8,2))))</x:f>
        <x:v>0.9840823950181709</x:v>
      </x:c>
      <x:c r="AN26" s="46" t="n">
        <x:f>IF(OR(AM26="",AK26=""),"",AM26-AK26)</x:f>
        <x:v>0.024909921813930036</x:v>
      </x:c>
      <x:c r="AO26" s="46" t="n">
        <x:f>IF('Model'!$D26=0,"",1-POWER(2,-MAX('Model'!$M26,'Model'!$M26+'Model'!$N26*(19-'Methodology'!$B$8)+0.5*'Model'!$P26*POWER(19-'Methodology'!$B$8,2))))</x:f>
        <x:v>0.9945233848107087</x:v>
      </x:c>
      <x:c r="AP26" s="46" t="n">
        <x:f>IF(OR(AO26="",AM26=""),"",AO26-AM26)</x:f>
        <x:v>0.010440989792537825</x:v>
      </x:c>
      <x:c r="AQ26" s="46" t="n">
        <x:f>IF('Model'!$D26=0,"",1-POWER(2,-MAX('Model'!$M26,'Model'!$M26+'Model'!$N26*(20-'Methodology'!$B$8)+0.5*'Model'!$P26*POWER(20-'Methodology'!$B$8,2))))</x:f>
        <x:v>0.9983371365647572</x:v>
      </x:c>
      <x:c r="AR26" s="46" t="n">
        <x:f>IF(OR(AQ26="",AO26=""),"",AQ26-AO26)</x:f>
        <x:v>0.003813751754048522</x:v>
      </x:c>
      <x:c r="AS26" s="24" t="n">
        <x:f>IF('Model'!$D26=0,"",Y26)</x:f>
        <x:v>0.158</x:v>
      </x:c>
      <x:c r="AT26" s="17" t="str">
        <x:f>'Model'!S26</x:f>
        <x:v>F</x:v>
      </x:c>
      <x:c r="AU26" s="26" t="n">
        <x:f>IF('Model'!$D26=0,"",'Model'!T26)</x:f>
        <x:v>0</x:v>
      </x:c>
      <x:c r="AV26" s="26" t="n">
        <x:f>IFERROR((AVERAGEIF($A$6:$A$28,"Direct economic stewardship",$AU$6:$AU$28)*'Summary'!$K$13+AVERAGEIF($A$6:$A$28,"Operational execution",$AU$6:$AU$28)*'Summary'!$K$14+AVERAGEIF($A$6:$A$28,"Personal stewardship transfer",$AU$6:$AU$28)*'Summary'!$K$15+AVERAGEIF($A$6:$A$28,"Economic value &amp; governance",$AU$6:$AU$28)*'Summary'!$K$16)/SUM('Summary'!$K$13:$K$16),"")</x:f>
        <x:v>0.6336477987421384</x:v>
      </x:c>
      <x:c r="AW26" s="25" t="n">
        <x:f>'Model'!N26</x:f>
        <x:v>0.18665713536174539</x:v>
      </x:c>
      <x:c r="AX26" s="25" t="n">
        <x:f>'Model'!P26</x:f>
        <x:v>0.18034796332026068</x:v>
      </x:c>
      <x:c r="AY26" s="17" t="str">
        <x:f>'Model'!Q26</x:f>
        <x:v>Velocity + acceleration — latest three observations</x:v>
      </x:c>
    </x:row>
    <x:row r="27" ht="46" hidden="0" customHeight="1">
      <x:c r="A27" s="17" t="str">
        <x:v>Economic value &amp; governance</x:v>
      </x:c>
      <x:c r="B27" s="17" t="str">
        <x:v>VAL-03</x:v>
      </x:c>
      <x:c r="C27" s="17" t="str">
        <x:v>OmegaUse-OfficeVal</x:v>
      </x:c>
      <x:c r="D27" s="17" t="str">
        <x:v>Economic value of office-computer work</x:v>
      </x:c>
      <x:c r="E27" s="44" t="str">
        <x:f>IF(COUNTIFS('Observations'!$A$6:$A$500,$B27,'Observations'!$F$6:$F$500,"&lt;="&amp;1)=0,"",SUMIFS('Observations'!$G$6:$G$500,'Observations'!$A$6:$A$500,$B27,'Observations'!$F$6:$F$500,MAXIFS('Observations'!$F$6:$F$500,'Observations'!$A$6:$A$500,$B27,'Observations'!$F$6:$F$500,"&lt;="&amp;1)))</x:f>
      </x:c>
      <x:c r="F27" s="44" t="str">
        <x:f>""</x:f>
      </x:c>
      <x:c r="G27" s="44" t="str">
        <x:f>IF(COUNTIFS('Observations'!$A$6:$A$500,$B27,'Observations'!$F$6:$F$500,"&lt;="&amp;2)=0,"",SUMIFS('Observations'!$G$6:$G$500,'Observations'!$A$6:$A$500,$B27,'Observations'!$F$6:$F$500,MAXIFS('Observations'!$F$6:$F$500,'Observations'!$A$6:$A$500,$B27,'Observations'!$F$6:$F$500,"&lt;="&amp;2)))</x:f>
      </x:c>
      <x:c r="H27" s="44" t="str">
        <x:f>IF(OR(G27="",E27=""),"",G27-E27)</x:f>
      </x:c>
      <x:c r="I27" s="44" t="str">
        <x:f>IF(COUNTIFS('Observations'!$A$6:$A$500,$B27,'Observations'!$F$6:$F$500,"&lt;="&amp;3)=0,"",SUMIFS('Observations'!$G$6:$G$500,'Observations'!$A$6:$A$500,$B27,'Observations'!$F$6:$F$500,MAXIFS('Observations'!$F$6:$F$500,'Observations'!$A$6:$A$500,$B27,'Observations'!$F$6:$F$500,"&lt;="&amp;3)))</x:f>
      </x:c>
      <x:c r="J27" s="44" t="str">
        <x:f>IF(OR(I27="",G27=""),"",I27-G27)</x:f>
      </x:c>
      <x:c r="K27" s="44" t="str">
        <x:f>IF(COUNTIFS('Observations'!$A$6:$A$500,$B27,'Observations'!$F$6:$F$500,"&lt;="&amp;4)=0,"",SUMIFS('Observations'!$G$6:$G$500,'Observations'!$A$6:$A$500,$B27,'Observations'!$F$6:$F$500,MAXIFS('Observations'!$F$6:$F$500,'Observations'!$A$6:$A$500,$B27,'Observations'!$F$6:$F$500,"&lt;="&amp;4)))</x:f>
      </x:c>
      <x:c r="L27" s="44" t="str">
        <x:f>IF(OR(K27="",I27=""),"",K27-I27)</x:f>
      </x:c>
      <x:c r="M27" s="44" t="str">
        <x:f>IF(COUNTIFS('Observations'!$A$6:$A$500,$B27,'Observations'!$F$6:$F$500,"&lt;="&amp;5)=0,"",SUMIFS('Observations'!$G$6:$G$500,'Observations'!$A$6:$A$500,$B27,'Observations'!$F$6:$F$500,MAXIFS('Observations'!$F$6:$F$500,'Observations'!$A$6:$A$500,$B27,'Observations'!$F$6:$F$500,"&lt;="&amp;5)))</x:f>
      </x:c>
      <x:c r="N27" s="44" t="str">
        <x:f>IF(OR(M27="",K27=""),"",M27-K27)</x:f>
      </x:c>
      <x:c r="O27" s="44" t="str">
        <x:f>IF(COUNTIFS('Observations'!$A$6:$A$500,$B27,'Observations'!$F$6:$F$500,"&lt;="&amp;6)=0,"",SUMIFS('Observations'!$G$6:$G$500,'Observations'!$A$6:$A$500,$B27,'Observations'!$F$6:$F$500,MAXIFS('Observations'!$F$6:$F$500,'Observations'!$A$6:$A$500,$B27,'Observations'!$F$6:$F$500,"&lt;="&amp;6)))</x:f>
      </x:c>
      <x:c r="P27" s="44" t="str">
        <x:f>IF(OR(O27="",M27=""),"",O27-M27)</x:f>
      </x:c>
      <x:c r="Q27" s="44" t="str">
        <x:f>IF(COUNTIFS('Observations'!$A$6:$A$500,$B27,'Observations'!$F$6:$F$500,"&lt;="&amp;7)=0,"",SUMIFS('Observations'!$G$6:$G$500,'Observations'!$A$6:$A$500,$B27,'Observations'!$F$6:$F$500,MAXIFS('Observations'!$F$6:$F$500,'Observations'!$A$6:$A$500,$B27,'Observations'!$F$6:$F$500,"&lt;="&amp;7)))</x:f>
      </x:c>
      <x:c r="R27" s="44" t="str">
        <x:f>IF(OR(Q27="",O27=""),"",Q27-O27)</x:f>
      </x:c>
      <x:c r="S27" s="44" t="str">
        <x:f>IF(COUNTIFS('Observations'!$A$6:$A$500,$B27,'Observations'!$F$6:$F$500,"&lt;="&amp;8)=0,"",SUMIFS('Observations'!$G$6:$G$500,'Observations'!$A$6:$A$500,$B27,'Observations'!$F$6:$F$500,MAXIFS('Observations'!$F$6:$F$500,'Observations'!$A$6:$A$500,$B27,'Observations'!$F$6:$F$500,"&lt;="&amp;8)))</x:f>
      </x:c>
      <x:c r="T27" s="44" t="str">
        <x:f>IF(OR(S27="",Q27=""),"",S27-Q27)</x:f>
      </x:c>
      <x:c r="U27" s="44" t="str">
        <x:f>IF(COUNTIFS('Observations'!$A$6:$A$500,$B27,'Observations'!$F$6:$F$500,"&lt;="&amp;9)=0,"",SUMIFS('Observations'!$G$6:$G$500,'Observations'!$A$6:$A$500,$B27,'Observations'!$F$6:$F$500,MAXIFS('Observations'!$F$6:$F$500,'Observations'!$A$6:$A$500,$B27,'Observations'!$F$6:$F$500,"&lt;="&amp;9)))</x:f>
      </x:c>
      <x:c r="V27" s="44" t="str">
        <x:f>IF(OR(U27="",S27=""),"",U27-S27)</x:f>
      </x:c>
      <x:c r="W27" s="44" t="str">
        <x:f>IF(COUNTIFS('Observations'!$A$6:$A$500,$B27,'Observations'!$F$6:$F$500,"&lt;="&amp;10)=0,"",SUMIFS('Observations'!$G$6:$G$500,'Observations'!$A$6:$A$500,$B27,'Observations'!$F$6:$F$500,MAXIFS('Observations'!$F$6:$F$500,'Observations'!$A$6:$A$500,$B27,'Observations'!$F$6:$F$500,"&lt;="&amp;10)))</x:f>
      </x:c>
      <x:c r="X27" s="44" t="str">
        <x:f>IF(OR(W27="",U27=""),"",W27-U27)</x:f>
      </x:c>
      <x:c r="Y27" s="44" t="str">
        <x:f>IF(COUNTIFS('Observations'!$A$6:$A$500,$B27,'Observations'!$F$6:$F$500,"&lt;="&amp;11)=0,"",SUMIFS('Observations'!$G$6:$G$500,'Observations'!$A$6:$A$500,$B27,'Observations'!$F$6:$F$500,MAXIFS('Observations'!$F$6:$F$500,'Observations'!$A$6:$A$500,$B27,'Observations'!$F$6:$F$500,"&lt;="&amp;11)))</x:f>
      </x:c>
      <x:c r="Z27" s="44" t="str">
        <x:f>IF(OR(Y27="",W27=""),"",Y27-W27)</x:f>
      </x:c>
      <x:c r="AA27" s="46" t="str">
        <x:f>IF('Model'!$D27=0,"",1-POWER(2,-MAX('Model'!$M27,'Model'!$M27+'Model'!$N27*(12-'Methodology'!$B$8)+0.5*'Model'!$P27*POWER(12-'Methodology'!$B$8,2))))</x:f>
      </x:c>
      <x:c r="AB27" s="46" t="str">
        <x:f>IF(OR(AA27="",Y27=""),"",AA27-Y27)</x:f>
      </x:c>
      <x:c r="AC27" s="46" t="str">
        <x:f>IF('Model'!$D27=0,"",1-POWER(2,-MAX('Model'!$M27,'Model'!$M27+'Model'!$N27*(13-'Methodology'!$B$8)+0.5*'Model'!$P27*POWER(13-'Methodology'!$B$8,2))))</x:f>
      </x:c>
      <x:c r="AD27" s="46" t="str">
        <x:f>IF(OR(AC27="",AA27=""),"",AC27-AA27)</x:f>
      </x:c>
      <x:c r="AE27" s="46" t="str">
        <x:f>IF('Model'!$D27=0,"",1-POWER(2,-MAX('Model'!$M27,'Model'!$M27+'Model'!$N27*(14-'Methodology'!$B$8)+0.5*'Model'!$P27*POWER(14-'Methodology'!$B$8,2))))</x:f>
      </x:c>
      <x:c r="AF27" s="46" t="str">
        <x:f>IF(OR(AE27="",AC27=""),"",AE27-AC27)</x:f>
      </x:c>
      <x:c r="AG27" s="46" t="str">
        <x:f>IF('Model'!$D27=0,"",1-POWER(2,-MAX('Model'!$M27,'Model'!$M27+'Model'!$N27*(15-'Methodology'!$B$8)+0.5*'Model'!$P27*POWER(15-'Methodology'!$B$8,2))))</x:f>
      </x:c>
      <x:c r="AH27" s="46" t="str">
        <x:f>IF(OR(AG27="",AE27=""),"",AG27-AE27)</x:f>
      </x:c>
      <x:c r="AI27" s="46" t="str">
        <x:f>IF('Model'!$D27=0,"",1-POWER(2,-MAX('Model'!$M27,'Model'!$M27+'Model'!$N27*(16-'Methodology'!$B$8)+0.5*'Model'!$P27*POWER(16-'Methodology'!$B$8,2))))</x:f>
      </x:c>
      <x:c r="AJ27" s="46" t="str">
        <x:f>IF(OR(AI27="",AG27=""),"",AI27-AG27)</x:f>
      </x:c>
      <x:c r="AK27" s="46" t="str">
        <x:f>IF('Model'!$D27=0,"",1-POWER(2,-MAX('Model'!$M27,'Model'!$M27+'Model'!$N27*(17-'Methodology'!$B$8)+0.5*'Model'!$P27*POWER(17-'Methodology'!$B$8,2))))</x:f>
      </x:c>
      <x:c r="AL27" s="46" t="str">
        <x:f>IF(OR(AK27="",AI27=""),"",AK27-AI27)</x:f>
      </x:c>
      <x:c r="AM27" s="46" t="str">
        <x:f>IF('Model'!$D27=0,"",1-POWER(2,-MAX('Model'!$M27,'Model'!$M27+'Model'!$N27*(18-'Methodology'!$B$8)+0.5*'Model'!$P27*POWER(18-'Methodology'!$B$8,2))))</x:f>
      </x:c>
      <x:c r="AN27" s="46" t="str">
        <x:f>IF(OR(AM27="",AK27=""),"",AM27-AK27)</x:f>
      </x:c>
      <x:c r="AO27" s="46" t="str">
        <x:f>IF('Model'!$D27=0,"",1-POWER(2,-MAX('Model'!$M27,'Model'!$M27+'Model'!$N27*(19-'Methodology'!$B$8)+0.5*'Model'!$P27*POWER(19-'Methodology'!$B$8,2))))</x:f>
      </x:c>
      <x:c r="AP27" s="46" t="str">
        <x:f>IF(OR(AO27="",AM27=""),"",AO27-AM27)</x:f>
      </x:c>
      <x:c r="AQ27" s="46" t="str">
        <x:f>IF('Model'!$D27=0,"",1-POWER(2,-MAX('Model'!$M27,'Model'!$M27+'Model'!$N27*(20-'Methodology'!$B$8)+0.5*'Model'!$P27*POWER(20-'Methodology'!$B$8,2))))</x:f>
      </x:c>
      <x:c r="AR27" s="46" t="str">
        <x:f>IF(OR(AQ27="",AO27=""),"",AQ27-AO27)</x:f>
      </x:c>
      <x:c r="AS27" s="24" t="str">
        <x:f>IF('Model'!$D27=0,"",Y27)</x:f>
      </x:c>
      <x:c r="AT27" s="17" t="str">
        <x:f>'Model'!S27</x:f>
        <x:v>N/A</x:v>
      </x:c>
      <x:c r="AU27" s="26" t="str">
        <x:f>IF('Model'!$D27=0,"",'Model'!T27)</x:f>
      </x:c>
      <x:c r="AV27" s="26" t="n">
        <x:f>IFERROR((AVERAGEIF($A$6:$A$28,"Direct economic stewardship",$AU$6:$AU$28)*'Summary'!$K$13+AVERAGEIF($A$6:$A$28,"Operational execution",$AU$6:$AU$28)*'Summary'!$K$14+AVERAGEIF($A$6:$A$28,"Personal stewardship transfer",$AU$6:$AU$28)*'Summary'!$K$15+AVERAGEIF($A$6:$A$28,"Economic value &amp; governance",$AU$6:$AU$28)*'Summary'!$K$16)/SUM('Summary'!$K$13:$K$16),"")</x:f>
        <x:v>0.6336477987421384</x:v>
      </x:c>
      <x:c r="AW27" s="25" t="n">
        <x:f>'Model'!N27</x:f>
        <x:v>0</x:v>
      </x:c>
      <x:c r="AX27" s="25" t="n">
        <x:f>'Model'!P27</x:f>
        <x:v>0</x:v>
      </x:c>
      <x:c r="AY27" s="17" t="str">
        <x:f>'Model'!Q27</x:f>
        <x:v>Ungraded — no normalized observation</x:v>
      </x:c>
    </x:row>
    <x:row r="28" ht="46" hidden="0" customHeight="1">
      <x:c r="A28" s="17" t="str">
        <x:v>Economic value &amp; governance</x:v>
      </x:c>
      <x:c r="B28" s="17" t="str">
        <x:v>VAL-04</x:v>
      </x:c>
      <x:c r="C28" s="17" t="str">
        <x:v>Claw-Eval</x:v>
      </x:c>
      <x:c r="D28" s="17" t="str">
        <x:v>Pass^3 on governed agent tasks</x:v>
      </x:c>
      <x:c r="E28" s="44" t="str">
        <x:f>IF(COUNTIFS('Observations'!$A$6:$A$500,$B28,'Observations'!$F$6:$F$500,"&lt;="&amp;1)=0,"",SUMIFS('Observations'!$G$6:$G$500,'Observations'!$A$6:$A$500,$B28,'Observations'!$F$6:$F$500,MAXIFS('Observations'!$F$6:$F$500,'Observations'!$A$6:$A$500,$B28,'Observations'!$F$6:$F$500,"&lt;="&amp;1)))</x:f>
      </x:c>
      <x:c r="F28" s="44" t="str">
        <x:f>""</x:f>
      </x:c>
      <x:c r="G28" s="44" t="str">
        <x:f>IF(COUNTIFS('Observations'!$A$6:$A$500,$B28,'Observations'!$F$6:$F$500,"&lt;="&amp;2)=0,"",SUMIFS('Observations'!$G$6:$G$500,'Observations'!$A$6:$A$500,$B28,'Observations'!$F$6:$F$500,MAXIFS('Observations'!$F$6:$F$500,'Observations'!$A$6:$A$500,$B28,'Observations'!$F$6:$F$500,"&lt;="&amp;2)))</x:f>
      </x:c>
      <x:c r="H28" s="44" t="str">
        <x:f>IF(OR(G28="",E28=""),"",G28-E28)</x:f>
      </x:c>
      <x:c r="I28" s="44" t="str">
        <x:f>IF(COUNTIFS('Observations'!$A$6:$A$500,$B28,'Observations'!$F$6:$F$500,"&lt;="&amp;3)=0,"",SUMIFS('Observations'!$G$6:$G$500,'Observations'!$A$6:$A$500,$B28,'Observations'!$F$6:$F$500,MAXIFS('Observations'!$F$6:$F$500,'Observations'!$A$6:$A$500,$B28,'Observations'!$F$6:$F$500,"&lt;="&amp;3)))</x:f>
      </x:c>
      <x:c r="J28" s="44" t="str">
        <x:f>IF(OR(I28="",G28=""),"",I28-G28)</x:f>
      </x:c>
      <x:c r="K28" s="44" t="str">
        <x:f>IF(COUNTIFS('Observations'!$A$6:$A$500,$B28,'Observations'!$F$6:$F$500,"&lt;="&amp;4)=0,"",SUMIFS('Observations'!$G$6:$G$500,'Observations'!$A$6:$A$500,$B28,'Observations'!$F$6:$F$500,MAXIFS('Observations'!$F$6:$F$500,'Observations'!$A$6:$A$500,$B28,'Observations'!$F$6:$F$500,"&lt;="&amp;4)))</x:f>
      </x:c>
      <x:c r="L28" s="44" t="str">
        <x:f>IF(OR(K28="",I28=""),"",K28-I28)</x:f>
      </x:c>
      <x:c r="M28" s="44" t="str">
        <x:f>IF(COUNTIFS('Observations'!$A$6:$A$500,$B28,'Observations'!$F$6:$F$500,"&lt;="&amp;5)=0,"",SUMIFS('Observations'!$G$6:$G$500,'Observations'!$A$6:$A$500,$B28,'Observations'!$F$6:$F$500,MAXIFS('Observations'!$F$6:$F$500,'Observations'!$A$6:$A$500,$B28,'Observations'!$F$6:$F$500,"&lt;="&amp;5)))</x:f>
      </x:c>
      <x:c r="N28" s="44" t="str">
        <x:f>IF(OR(M28="",K28=""),"",M28-K28)</x:f>
      </x:c>
      <x:c r="O28" s="44" t="str">
        <x:f>IF(COUNTIFS('Observations'!$A$6:$A$500,$B28,'Observations'!$F$6:$F$500,"&lt;="&amp;6)=0,"",SUMIFS('Observations'!$G$6:$G$500,'Observations'!$A$6:$A$500,$B28,'Observations'!$F$6:$F$500,MAXIFS('Observations'!$F$6:$F$500,'Observations'!$A$6:$A$500,$B28,'Observations'!$F$6:$F$500,"&lt;="&amp;6)))</x:f>
      </x:c>
      <x:c r="P28" s="44" t="str">
        <x:f>IF(OR(O28="",M28=""),"",O28-M28)</x:f>
      </x:c>
      <x:c r="Q28" s="44" t="str">
        <x:f>IF(COUNTIFS('Observations'!$A$6:$A$500,$B28,'Observations'!$F$6:$F$500,"&lt;="&amp;7)=0,"",SUMIFS('Observations'!$G$6:$G$500,'Observations'!$A$6:$A$500,$B28,'Observations'!$F$6:$F$500,MAXIFS('Observations'!$F$6:$F$500,'Observations'!$A$6:$A$500,$B28,'Observations'!$F$6:$F$500,"&lt;="&amp;7)))</x:f>
      </x:c>
      <x:c r="R28" s="44" t="str">
        <x:f>IF(OR(Q28="",O28=""),"",Q28-O28)</x:f>
      </x:c>
      <x:c r="S28" s="44" t="str">
        <x:f>IF(COUNTIFS('Observations'!$A$6:$A$500,$B28,'Observations'!$F$6:$F$500,"&lt;="&amp;8)=0,"",SUMIFS('Observations'!$G$6:$G$500,'Observations'!$A$6:$A$500,$B28,'Observations'!$F$6:$F$500,MAXIFS('Observations'!$F$6:$F$500,'Observations'!$A$6:$A$500,$B28,'Observations'!$F$6:$F$500,"&lt;="&amp;8)))</x:f>
      </x:c>
      <x:c r="T28" s="44" t="str">
        <x:f>IF(OR(S28="",Q28=""),"",S28-Q28)</x:f>
      </x:c>
      <x:c r="U28" s="45" t="n">
        <x:f>IF(COUNTIFS('Observations'!$A$6:$A$500,$B28,'Observations'!$F$6:$F$500,"&lt;="&amp;9)=0,"",SUMIFS('Observations'!$G$6:$G$500,'Observations'!$A$6:$A$500,$B28,'Observations'!$F$6:$F$500,MAXIFS('Observations'!$F$6:$F$500,'Observations'!$A$6:$A$500,$B28,'Observations'!$F$6:$F$500,"&lt;="&amp;9)))</x:f>
        <x:v>0.704</x:v>
      </x:c>
      <x:c r="V28" s="45" t="str">
        <x:f>IF(OR(U28="",S28=""),"",U28-S28)</x:f>
      </x:c>
      <x:c r="W28" s="44" t="n">
        <x:f>IF(COUNTIFS('Observations'!$A$6:$A$500,$B28,'Observations'!$F$6:$F$500,"&lt;="&amp;10)=0,"",SUMIFS('Observations'!$G$6:$G$500,'Observations'!$A$6:$A$500,$B28,'Observations'!$F$6:$F$500,MAXIFS('Observations'!$F$6:$F$500,'Observations'!$A$6:$A$500,$B28,'Observations'!$F$6:$F$500,"&lt;="&amp;10)))</x:f>
        <x:v>0.704</x:v>
      </x:c>
      <x:c r="X28" s="44" t="n">
        <x:f>IF(OR(W28="",U28=""),"",W28-U28)</x:f>
        <x:v>0</x:v>
      </x:c>
      <x:c r="Y28" s="44" t="n">
        <x:f>IF(COUNTIFS('Observations'!$A$6:$A$500,$B28,'Observations'!$F$6:$F$500,"&lt;="&amp;11)=0,"",SUMIFS('Observations'!$G$6:$G$500,'Observations'!$A$6:$A$500,$B28,'Observations'!$F$6:$F$500,MAXIFS('Observations'!$F$6:$F$500,'Observations'!$A$6:$A$500,$B28,'Observations'!$F$6:$F$500,"&lt;="&amp;11)))</x:f>
        <x:v>0.704</x:v>
      </x:c>
      <x:c r="Z28" s="44" t="n">
        <x:f>IF(OR(Y28="",W28=""),"",Y28-W28)</x:f>
        <x:v>0</x:v>
      </x:c>
      <x:c r="AA28" s="46" t="n">
        <x:f>IF('Model'!$D28=0,"",1-POWER(2,-MAX('Model'!$M28,'Model'!$M28+'Model'!$N28*(12-'Methodology'!$B$8)+0.5*'Model'!$P28*POWER(12-'Methodology'!$B$8,2))))</x:f>
        <x:v>0.704</x:v>
      </x:c>
      <x:c r="AB28" s="46" t="n">
        <x:f>IF(OR(AA28="",Y28=""),"",AA28-Y28)</x:f>
        <x:v>0</x:v>
      </x:c>
      <x:c r="AC28" s="46" t="n">
        <x:f>IF('Model'!$D28=0,"",1-POWER(2,-MAX('Model'!$M28,'Model'!$M28+'Model'!$N28*(13-'Methodology'!$B$8)+0.5*'Model'!$P28*POWER(13-'Methodology'!$B$8,2))))</x:f>
        <x:v>0.704</x:v>
      </x:c>
      <x:c r="AD28" s="46" t="n">
        <x:f>IF(OR(AC28="",AA28=""),"",AC28-AA28)</x:f>
        <x:v>0</x:v>
      </x:c>
      <x:c r="AE28" s="46" t="n">
        <x:f>IF('Model'!$D28=0,"",1-POWER(2,-MAX('Model'!$M28,'Model'!$M28+'Model'!$N28*(14-'Methodology'!$B$8)+0.5*'Model'!$P28*POWER(14-'Methodology'!$B$8,2))))</x:f>
        <x:v>0.704</x:v>
      </x:c>
      <x:c r="AF28" s="46" t="n">
        <x:f>IF(OR(AE28="",AC28=""),"",AE28-AC28)</x:f>
        <x:v>0</x:v>
      </x:c>
      <x:c r="AG28" s="46" t="n">
        <x:f>IF('Model'!$D28=0,"",1-POWER(2,-MAX('Model'!$M28,'Model'!$M28+'Model'!$N28*(15-'Methodology'!$B$8)+0.5*'Model'!$P28*POWER(15-'Methodology'!$B$8,2))))</x:f>
        <x:v>0.704</x:v>
      </x:c>
      <x:c r="AH28" s="46" t="n">
        <x:f>IF(OR(AG28="",AE28=""),"",AG28-AE28)</x:f>
        <x:v>0</x:v>
      </x:c>
      <x:c r="AI28" s="46" t="n">
        <x:f>IF('Model'!$D28=0,"",1-POWER(2,-MAX('Model'!$M28,'Model'!$M28+'Model'!$N28*(16-'Methodology'!$B$8)+0.5*'Model'!$P28*POWER(16-'Methodology'!$B$8,2))))</x:f>
        <x:v>0.704</x:v>
      </x:c>
      <x:c r="AJ28" s="46" t="n">
        <x:f>IF(OR(AI28="",AG28=""),"",AI28-AG28)</x:f>
        <x:v>0</x:v>
      </x:c>
      <x:c r="AK28" s="46" t="n">
        <x:f>IF('Model'!$D28=0,"",1-POWER(2,-MAX('Model'!$M28,'Model'!$M28+'Model'!$N28*(17-'Methodology'!$B$8)+0.5*'Model'!$P28*POWER(17-'Methodology'!$B$8,2))))</x:f>
        <x:v>0.704</x:v>
      </x:c>
      <x:c r="AL28" s="46" t="n">
        <x:f>IF(OR(AK28="",AI28=""),"",AK28-AI28)</x:f>
        <x:v>0</x:v>
      </x:c>
      <x:c r="AM28" s="46" t="n">
        <x:f>IF('Model'!$D28=0,"",1-POWER(2,-MAX('Model'!$M28,'Model'!$M28+'Model'!$N28*(18-'Methodology'!$B$8)+0.5*'Model'!$P28*POWER(18-'Methodology'!$B$8,2))))</x:f>
        <x:v>0.704</x:v>
      </x:c>
      <x:c r="AN28" s="46" t="n">
        <x:f>IF(OR(AM28="",AK28=""),"",AM28-AK28)</x:f>
        <x:v>0</x:v>
      </x:c>
      <x:c r="AO28" s="46" t="n">
        <x:f>IF('Model'!$D28=0,"",1-POWER(2,-MAX('Model'!$M28,'Model'!$M28+'Model'!$N28*(19-'Methodology'!$B$8)+0.5*'Model'!$P28*POWER(19-'Methodology'!$B$8,2))))</x:f>
        <x:v>0.704</x:v>
      </x:c>
      <x:c r="AP28" s="46" t="n">
        <x:f>IF(OR(AO28="",AM28=""),"",AO28-AM28)</x:f>
        <x:v>0</x:v>
      </x:c>
      <x:c r="AQ28" s="46" t="n">
        <x:f>IF('Model'!$D28=0,"",1-POWER(2,-MAX('Model'!$M28,'Model'!$M28+'Model'!$N28*(20-'Methodology'!$B$8)+0.5*'Model'!$P28*POWER(20-'Methodology'!$B$8,2))))</x:f>
        <x:v>0.704</x:v>
      </x:c>
      <x:c r="AR28" s="46" t="n">
        <x:f>IF(OR(AQ28="",AO28=""),"",AQ28-AO28)</x:f>
        <x:v>0</x:v>
      </x:c>
      <x:c r="AS28" s="24" t="n">
        <x:f>IF('Model'!$D28=0,"",Y28)</x:f>
        <x:v>0.704</x:v>
      </x:c>
      <x:c r="AT28" s="17" t="str">
        <x:f>'Model'!S28</x:f>
        <x:v>C</x:v>
      </x:c>
      <x:c r="AU28" s="26" t="n">
        <x:f>IF('Model'!$D28=0,"",'Model'!T28)</x:f>
        <x:v>2</x:v>
      </x:c>
      <x:c r="AV28" s="26" t="n">
        <x:f>IFERROR((AVERAGEIF($A$6:$A$28,"Direct economic stewardship",$AU$6:$AU$28)*'Summary'!$K$13+AVERAGEIF($A$6:$A$28,"Operational execution",$AU$6:$AU$28)*'Summary'!$K$14+AVERAGEIF($A$6:$A$28,"Personal stewardship transfer",$AU$6:$AU$28)*'Summary'!$K$15+AVERAGEIF($A$6:$A$28,"Economic value &amp; governance",$AU$6:$AU$28)*'Summary'!$K$16)/SUM('Summary'!$K$13:$K$16),"")</x:f>
        <x:v>0.6336477987421384</x:v>
      </x:c>
      <x:c r="AW28" s="25" t="n">
        <x:f>'Model'!N28</x:f>
        <x:v>0</x:v>
      </x:c>
      <x:c r="AX28" s="25" t="n">
        <x:f>'Model'!P28</x:f>
        <x:v>0</x:v>
      </x:c>
      <x:c r="AY28" s="17" t="str">
        <x:f>'Model'!Q28</x:f>
        <x:v>Flat — one observation</x:v>
      </x:c>
    </x:row>
  </x:sheetData>
  <x:mergeCells>
    <x:mergeCell ref="A1:AY2"/>
    <x:mergeCell ref="A3:AY3"/>
    <x:mergeCell ref="A4:A5"/>
    <x:mergeCell ref="B4:B5"/>
    <x:mergeCell ref="C4:C5"/>
    <x:mergeCell ref="D4:D5"/>
    <x:mergeCell ref="E4:F4"/>
    <x:mergeCell ref="G4:H4"/>
    <x:mergeCell ref="I4:J4"/>
    <x:mergeCell ref="K4:L4"/>
    <x:mergeCell ref="M4:N4"/>
    <x:mergeCell ref="O4:P4"/>
    <x:mergeCell ref="Q4:R4"/>
    <x:mergeCell ref="S4:T4"/>
    <x:mergeCell ref="U4:V4"/>
    <x:mergeCell ref="W4:X4"/>
    <x:mergeCell ref="Y4:Z4"/>
    <x:mergeCell ref="AA4:AB4"/>
    <x:mergeCell ref="AC4:AD4"/>
    <x:mergeCell ref="AE4:AF4"/>
    <x:mergeCell ref="AG4:AH4"/>
    <x:mergeCell ref="AI4:AJ4"/>
    <x:mergeCell ref="AK4:AL4"/>
    <x:mergeCell ref="AM4:AN4"/>
    <x:mergeCell ref="AO4:AP4"/>
    <x:mergeCell ref="AQ4:AR4"/>
    <x:mergeCell ref="AS4:AY4"/>
  </x:mergeCells>
  <x:conditionalFormatting sqref="AT6:AT28">
    <x:cfRule type="expression" dxfId="0" priority="1">
      <x:formula>AT6="A"</x:formula>
    </x:cfRule>
    <x:cfRule type="expression" dxfId="1" priority="2">
      <x:formula>AT6="B"</x:formula>
    </x:cfRule>
    <x:cfRule type="expression" dxfId="2" priority="3">
      <x:formula>AT6="C"</x:formula>
    </x:cfRule>
    <x:cfRule type="expression" dxfId="3" priority="4">
      <x:formula>AT6="D"</x:formula>
    </x:cfRule>
    <x:cfRule type="expression" dxfId="4" priority="5">
      <x:formula>AT6="F"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30" hidden="0" customWidth="1"/>
    <x:col min="4" max="4" width="14" hidden="0" customWidth="1"/>
    <x:col min="5" max="5" width="11" hidden="0" customWidth="1"/>
    <x:col min="6" max="6" width="12" hidden="0" customWidth="1"/>
    <x:col min="7" max="7" width="12" hidden="0" customWidth="1"/>
    <x:col min="8" max="8" width="28" hidden="0" customWidth="1"/>
    <x:col min="9" max="9" width="34" hidden="0" customWidth="1"/>
    <x:col min="10" max="10" width="48" hidden="0" customWidth="1"/>
    <x:col min="11" max="11" width="45" hidden="0" customWidth="1"/>
  </x:cols>
  <x:sheetData>
    <x:row r="1" ht="28" customHeight="1">
      <x:c r="A1" s="3" t="str">
        <x:v>Normalized Benchmark Observations</x:v>
      </x:c>
      <x:c r="B1" s="3" t="str">
        <x:v>Normalized Benchmark Observations</x:v>
      </x:c>
      <x:c r="C1" s="3" t="str">
        <x:v>Normalized Benchmark Observations</x:v>
      </x:c>
      <x:c r="D1" s="3" t="str">
        <x:v>Normalized Benchmark Observations</x:v>
      </x:c>
      <x:c r="E1" s="3" t="str">
        <x:v>Normalized Benchmark Observations</x:v>
      </x:c>
      <x:c r="F1" s="3" t="str">
        <x:v>Normalized Benchmark Observations</x:v>
      </x:c>
      <x:c r="G1" s="3" t="str">
        <x:v>Normalized Benchmark Observations</x:v>
      </x:c>
      <x:c r="H1" s="3" t="str">
        <x:v>Normalized Benchmark Observations</x:v>
      </x:c>
      <x:c r="I1" s="3" t="str">
        <x:v>Normalized Benchmark Observations</x:v>
      </x:c>
      <x:c r="J1" s="3" t="str">
        <x:v>Normalized Benchmark Observations</x:v>
      </x:c>
      <x:c r="K1" s="3" t="str">
        <x:v>Normalized Benchmark Observations</x:v>
      </x:c>
    </x:row>
    <x:row r="2" ht="28" customHeight="1">
      <x:c r="A2" s="3" t="str">
        <x:v>Normalized Benchmark Observations</x:v>
      </x:c>
      <x:c r="B2" s="3" t="str">
        <x:v>Normalized Benchmark Observations</x:v>
      </x:c>
      <x:c r="C2" s="3" t="str">
        <x:v>Normalized Benchmark Observations</x:v>
      </x:c>
      <x:c r="D2" s="3" t="str">
        <x:v>Normalized Benchmark Observations</x:v>
      </x:c>
      <x:c r="E2" s="3" t="str">
        <x:v>Normalized Benchmark Observations</x:v>
      </x:c>
      <x:c r="F2" s="3" t="str">
        <x:v>Normalized Benchmark Observations</x:v>
      </x:c>
      <x:c r="G2" s="3" t="str">
        <x:v>Normalized Benchmark Observations</x:v>
      </x:c>
      <x:c r="H2" s="3" t="str">
        <x:v>Normalized Benchmark Observations</x:v>
      </x:c>
      <x:c r="I2" s="3" t="str">
        <x:v>Normalized Benchmark Observations</x:v>
      </x:c>
      <x:c r="J2" s="3" t="str">
        <x:v>Normalized Benchmark Observations</x:v>
      </x:c>
      <x:c r="K2" s="3" t="str">
        <x:v>Normalized Benchmark Observations</x:v>
      </x:c>
    </x:row>
    <x:row r="3" ht="15" hidden="0" customHeight="1">
      <x:c r="A3" s="6" t="str">
        <x:v>Append-only evidence ledger. Raw dollars and Elo enter the report only after conversion against a fixed, sourced target or reference anchor.</x:v>
      </x:c>
      <x:c r="B3" s="6" t="str">
        <x:v>Append-only evidence ledger. Raw dollars and Elo enter the report only after conversion against a fixed, sourced target or reference anchor.</x:v>
      </x:c>
      <x:c r="C3" s="6" t="str">
        <x:v>Append-only evidence ledger. Raw dollars and Elo enter the report only after conversion against a fixed, sourced target or reference anchor.</x:v>
      </x:c>
      <x:c r="D3" s="6" t="str">
        <x:v>Append-only evidence ledger. Raw dollars and Elo enter the report only after conversion against a fixed, sourced target or reference anchor.</x:v>
      </x:c>
      <x:c r="E3" s="6" t="str">
        <x:v>Append-only evidence ledger. Raw dollars and Elo enter the report only after conversion against a fixed, sourced target or reference anchor.</x:v>
      </x:c>
      <x:c r="F3" s="6" t="str">
        <x:v>Append-only evidence ledger. Raw dollars and Elo enter the report only after conversion against a fixed, sourced target or reference anchor.</x:v>
      </x:c>
      <x:c r="G3" s="6" t="str">
        <x:v>Append-only evidence ledger. Raw dollars and Elo enter the report only after conversion against a fixed, sourced target or reference anchor.</x:v>
      </x:c>
      <x:c r="H3" s="6" t="str">
        <x:v>Append-only evidence ledger. Raw dollars and Elo enter the report only after conversion against a fixed, sourced target or reference anchor.</x:v>
      </x:c>
      <x:c r="I3" s="6" t="str">
        <x:v>Append-only evidence ledger. Raw dollars and Elo enter the report only after conversion against a fixed, sourced target or reference anchor.</x:v>
      </x:c>
      <x:c r="J3" s="6" t="str">
        <x:v>Append-only evidence ledger. Raw dollars and Elo enter the report only after conversion against a fixed, sourced target or reference anchor.</x:v>
      </x:c>
      <x:c r="K3" s="6" t="str">
        <x:v>Append-only evidence ledger. Raw dollars and Elo enter the report only after conversion against a fixed, sourced target or reference anchor.</x:v>
      </x:c>
    </x:row>
    <x:row r="4"/>
    <x:row r="5" ht="38" hidden="0" customHeight="1">
      <x:c r="A5" s="13" t="str">
        <x:v>Benchmark ID</x:v>
      </x:c>
      <x:c r="B5" s="13" t="str">
        <x:v>Benchmark Name</x:v>
      </x:c>
      <x:c r="C5" s="13" t="str">
        <x:v>Category</x:v>
      </x:c>
      <x:c r="D5" s="13" t="str">
        <x:v>Observed date</x:v>
      </x:c>
      <x:c r="E5" s="13" t="str">
        <x:v>Quarter</x:v>
      </x:c>
      <x:c r="F5" s="13" t="str">
        <x:v>Quarter index</x:v>
      </x:c>
      <x:c r="G5" s="13" t="str">
        <x:v>Score</x:v>
      </x:c>
      <x:c r="H5" s="13" t="str">
        <x:v>System / harness</x:v>
      </x:c>
      <x:c r="I5" s="13" t="str">
        <x:v>Score basis</x:v>
      </x:c>
      <x:c r="J5" s="13" t="str">
        <x:v>Source URL</x:v>
      </x:c>
      <x:c r="K5" s="13" t="str">
        <x:v>Notes</x:v>
      </x:c>
    </x:row>
    <x:row r="6" ht="15" hidden="0" customHeight="1">
      <x:c r="A6" s="17" t="str">
        <x:v>DES-01</x:v>
      </x:c>
      <x:c r="B6" s="17" t="str">
        <x:v>Vending-Bench 2</x:v>
      </x:c>
      <x:c r="C6" s="17" t="str">
        <x:v>Direct economic stewardship</x:v>
      </x:c>
      <x:c r="D6" s="18" t="n">
        <x:v>46058</x:v>
      </x:c>
      <x:c r="E6" s="17" t="str">
        <x:v>2026-Q1</x:v>
      </x:c>
      <x:c r="F6" s="17" t="n">
        <x:v>9</x:v>
      </x:c>
      <x:c r="G6" s="24" t="n">
        <x:v>0.12726333333333334</x:v>
      </x:c>
      <x:c r="H6" s="17" t="str">
        <x:v>Claude Opus 4.6</x:v>
      </x:c>
      <x:c r="I6" s="17" t="str">
        <x:v>Frontier balance / $63,000 strategy target</x:v>
      </x:c>
      <x:c r="J6" s="17" t="str">
        <x:v>https://andonlabs.com/evals/vending-bench-2</x:v>
      </x:c>
      <x:c r="K6" s="17" t="str">
        <x:v>Observed release-quarter frontier.</x:v>
      </x:c>
    </x:row>
    <x:row r="7" ht="15" hidden="0" customHeight="1">
      <x:c r="A7" s="17" t="str">
        <x:v>DES-01</x:v>
      </x:c>
      <x:c r="B7" s="17" t="str">
        <x:v>Vending-Bench 2</x:v>
      </x:c>
      <x:c r="C7" s="17" t="str">
        <x:v>Direct economic stewardship</x:v>
      </x:c>
      <x:c r="D7" s="18" t="n">
        <x:v>46128</x:v>
      </x:c>
      <x:c r="E7" s="17" t="str">
        <x:v>2026-Q2</x:v>
      </x:c>
      <x:c r="F7" s="17" t="n">
        <x:v>10</x:v>
      </x:c>
      <x:c r="G7" s="24" t="n">
        <x:v>0.17359936507936508</x:v>
      </x:c>
      <x:c r="H7" s="17" t="str">
        <x:v>Claude Opus 4.7</x:v>
      </x:c>
      <x:c r="I7" s="17" t="str">
        <x:v>Frontier balance / $63,000 strategy target</x:v>
      </x:c>
      <x:c r="J7" s="17" t="str">
        <x:v>https://andonlabs.com/evals/vending-bench-2</x:v>
      </x:c>
      <x:c r="K7" s="17" t="str">
        <x:v>Observed release-quarter frontier.</x:v>
      </x:c>
    </x:row>
    <x:row r="8" ht="15" hidden="0" customHeight="1">
      <x:c r="A8" s="17" t="str">
        <x:v>DES-01</x:v>
      </x:c>
      <x:c r="B8" s="17" t="str">
        <x:v>Vending-Bench 2</x:v>
      </x:c>
      <x:c r="C8" s="17" t="str">
        <x:v>Direct economic stewardship</x:v>
      </x:c>
      <x:c r="D8" s="18" t="n">
        <x:v>46227</x:v>
      </x:c>
      <x:c r="E8" s="17" t="str">
        <x:v>2026-Q3</x:v>
      </x:c>
      <x:c r="F8" s="17" t="n">
        <x:v>11</x:v>
      </x:c>
      <x:c r="G8" s="24" t="n">
        <x:v>0.17749</x:v>
      </x:c>
      <x:c r="H8" s="17" t="str">
        <x:v>Claude Opus 5</x:v>
      </x:c>
      <x:c r="I8" s="17" t="str">
        <x:v>Frontier balance / $63,000 strategy target</x:v>
      </x:c>
      <x:c r="J8" s="17" t="str">
        <x:v>https://andonlabs.com/evals/vending-bench-2</x:v>
      </x:c>
      <x:c r="K8" s="17" t="str">
        <x:v>Observed release-quarter frontier.</x:v>
      </x:c>
    </x:row>
    <x:row r="9" ht="15" hidden="0" customHeight="1">
      <x:c r="A9" s="17" t="str">
        <x:v>DES-02</x:v>
      </x:c>
      <x:c r="B9" s="17" t="str">
        <x:v>CEO-Bench</x:v>
      </x:c>
      <x:c r="C9" s="17" t="str">
        <x:v>Direct economic stewardship</x:v>
      </x:c>
      <x:c r="D9" s="18" t="n">
        <x:v>46182</x:v>
      </x:c>
      <x:c r="E9" s="17" t="str">
        <x:v>2026-Q2</x:v>
      </x:c>
      <x:c r="F9" s="17" t="n">
        <x:v>10</x:v>
      </x:c>
      <x:c r="G9" s="24" t="n">
        <x:v>0.005740944545454546</x:v>
      </x:c>
      <x:c r="H9" s="17" t="str">
        <x:v>Claude Fable 5</x:v>
      </x:c>
      <x:c r="I9" s="17" t="str">
        <x:v>Best-run final cash / $2.2B upper bound</x:v>
      </x:c>
      <x:c r="J9" s="17" t="str">
        <x:v>https://ceobench.com/</x:v>
      </x:c>
      <x:c r="K9" s="17" t="str">
        <x:v>Three runs/model; best-run statistic is noisy.</x:v>
      </x:c>
    </x:row>
    <x:row r="10" ht="15" hidden="0" customHeight="1">
      <x:c r="A10" s="17" t="str">
        <x:v>DES-02</x:v>
      </x:c>
      <x:c r="B10" s="17" t="str">
        <x:v>CEO-Bench</x:v>
      </x:c>
      <x:c r="C10" s="17" t="str">
        <x:v>Direct economic stewardship</x:v>
      </x:c>
      <x:c r="D10" s="18" t="n">
        <x:v>46235</x:v>
      </x:c>
      <x:c r="E10" s="17" t="str">
        <x:v>2026-Q3</x:v>
      </x:c>
      <x:c r="F10" s="17" t="n">
        <x:v>11</x:v>
      </x:c>
      <x:c r="G10" s="24" t="n">
        <x:v>0.010067435</x:v>
      </x:c>
      <x:c r="H10" s="17" t="str">
        <x:v>Kimi K3</x:v>
      </x:c>
      <x:c r="I10" s="17" t="str">
        <x:v>Best-run final cash / $2.2B upper bound</x:v>
      </x:c>
      <x:c r="J10" s="17" t="str">
        <x:v>https://ceobench.com/</x:v>
      </x:c>
      <x:c r="K10" s="17" t="str">
        <x:v>Three runs/model; best-run statistic is noisy.</x:v>
      </x:c>
    </x:row>
    <x:row r="11" ht="21.600000381469727" hidden="0" customHeight="1">
      <x:c r="A11" s="17" t="str">
        <x:v>DES-03</x:v>
      </x:c>
      <x:c r="B11" s="17" t="str">
        <x:v>YC-Bench</x:v>
      </x:c>
      <x:c r="C11" s="17" t="str">
        <x:v>Direct economic stewardship</x:v>
      </x:c>
      <x:c r="D11" s="18" t="n">
        <x:v>46113</x:v>
      </x:c>
      <x:c r="E11" s="17" t="str">
        <x:v>2026-Q2</x:v>
      </x:c>
      <x:c r="F11" s="17" t="n">
        <x:v>10</x:v>
      </x:c>
      <x:c r="G11" s="24" t="n">
        <x:v>1</x:v>
      </x:c>
      <x:c r="H11" s="17" t="str">
        <x:v>Claude Opus 4.6</x:v>
      </x:c>
      <x:c r="I11" s="17" t="str">
        <x:v>Mean final funds / $1M published substantial-profit threshold</x:v>
      </x:c>
      <x:c r="J11" s="17" t="str">
        <x:v>https://arxiv.org/abs/2604.01212</x:v>
      </x:c>
      <x:c r="K11" s="17" t="str">
        <x:v>Provisional target-normalized score. Saturated at launch; no human or oracle ceiling is published.</x:v>
      </x:c>
    </x:row>
    <x:row r="12" ht="21.600000381469727" hidden="0" customHeight="1">
      <x:c r="A12" s="17" t="str">
        <x:v>DES-04</x:v>
      </x:c>
      <x:c r="B12" s="17" t="str">
        <x:v>Business Arena</x:v>
      </x:c>
      <x:c r="C12" s="17" t="str">
        <x:v>Direct economic stewardship</x:v>
      </x:c>
      <x:c r="D12" s="18" t="n">
        <x:v>46245</x:v>
      </x:c>
      <x:c r="E12" s="17" t="str">
        <x:v>2026-Q3</x:v>
      </x:c>
      <x:c r="F12" s="17" t="n">
        <x:v>11</x:v>
      </x:c>
      <x:c r="G12" s="24" t="n">
        <x:v>0.4321186625247882</x:v>
      </x:c>
      <x:c r="H12" s="17" t="str">
        <x:v>Gemini 3.1 Pro</x:v>
      </x:c>
      <x:c r="I12" s="17" t="str">
        <x:v>Best-model mean final worth / expert-strategy final worth</x:v>
      </x:c>
      <x:c r="J12" s="17" t="str">
        <x:v>https://arxiv.org/abs/2608.08621</x:v>
      </x:c>
      <x:c r="K12" s="17" t="str">
        <x:v>Ten matched runs per model; reference strategy uses only agent-visible information.</x:v>
      </x:c>
    </x:row>
    <x:row r="13" ht="15" hidden="0" customHeight="1">
      <x:c r="A13" s="17" t="str">
        <x:v>DES-05</x:v>
      </x:c>
      <x:c r="B13" s="17" t="str">
        <x:v>EnterpriseArena</x:v>
      </x:c>
      <x:c r="C13" s="17" t="str">
        <x:v>Direct economic stewardship</x:v>
      </x:c>
      <x:c r="D13" s="18" t="n">
        <x:v>46101</x:v>
      </x:c>
      <x:c r="E13" s="17" t="str">
        <x:v>2026-Q1</x:v>
      </x:c>
      <x:c r="F13" s="17" t="n">
        <x:v>9</x:v>
      </x:c>
      <x:c r="G13" s="24" t="n">
        <x:v>0.8</x:v>
      </x:c>
      <x:c r="H13" s="17" t="str">
        <x:v>Qwen 3.5 9B</x:v>
      </x:c>
      <x:c r="I13" s="17" t="str">
        <x:v>Best-model full-horizon survival</x:v>
      </x:c>
      <x:c r="J13" s="17" t="str">
        <x:v>https://arxiv.org/abs/2603.23638</x:v>
      </x:c>
      <x:c r="K13" s="17" t="str">
        <x:v>Single launch-era frontier; flat forecast until another comparable point.</x:v>
      </x:c>
    </x:row>
    <x:row r="14" ht="21.600000381469727" hidden="0" customHeight="1">
      <x:c r="A14" s="17" t="str">
        <x:v>DES-06</x:v>
      </x:c>
      <x:c r="B14" s="17" t="str">
        <x:v>RetailBench</x:v>
      </x:c>
      <x:c r="C14" s="17" t="str">
        <x:v>Direct economic stewardship</x:v>
      </x:c>
      <x:c r="D14" s="18" t="n">
        <x:v>46211</x:v>
      </x:c>
      <x:c r="E14" s="17" t="str">
        <x:v>2026-Q3</x:v>
      </x:c>
      <x:c r="F14" s="17" t="n">
        <x:v>11</x:v>
      </x:c>
      <x:c r="G14" s="24" t="n">
        <x:v>0.18516388283148968</x:v>
      </x:c>
      <x:c r="H14" s="17" t="str">
        <x:v>GPT-5.5 + ReAct</x:v>
      </x:c>
      <x:c r="I14" s="17" t="str">
        <x:v>Best LLM final net worth / oracle final net worth</x:v>
      </x:c>
      <x:c r="J14" s="17" t="str">
        <x:v>https://arxiv.org/abs/2603.16453</x:v>
      </x:c>
      <x:c r="K14" s="17" t="str">
        <x:v>Selected-run protocol; oracle has privileged simulator access and is a ceiling-like reference.</x:v>
      </x:c>
    </x:row>
    <x:row r="15" ht="21.600000381469727" hidden="0" customHeight="1">
      <x:c r="A15" s="17" t="str">
        <x:v>DES-07</x:v>
      </x:c>
      <x:c r="B15" s="17" t="str">
        <x:v>MerchantBench</x:v>
      </x:c>
      <x:c r="C15" s="17" t="str">
        <x:v>Direct economic stewardship</x:v>
      </x:c>
      <x:c r="D15" s="18" t="n">
        <x:v>46238</x:v>
      </x:c>
      <x:c r="E15" s="17" t="str">
        <x:v>2026-Q3</x:v>
      </x:c>
      <x:c r="F15" s="17" t="n">
        <x:v>11</x:v>
      </x:c>
      <x:c r="G15" s="24" t="n">
        <x:v>0.273</x:v>
      </x:c>
      <x:c r="H15" s="17" t="str">
        <x:v>Qwen3.7-Max + Hermes</x:v>
      </x:c>
      <x:c r="I15" s="17" t="str">
        <x:v>Best LLM mean final net assets / human mean</x:v>
      </x:c>
      <x:c r="J15" s="17" t="str">
        <x:v>https://arxiv.org/abs/2607.28956</x:v>
      </x:c>
      <x:c r="K15" s="17" t="str">
        <x:v>Authors' reported ratio; three LLM runs per configuration and three non-expert human participants.</x:v>
      </x:c>
    </x:row>
    <x:row r="16" ht="15" hidden="0" customHeight="1">
      <x:c r="A16" s="17" t="str">
        <x:v>OPS-01</x:v>
      </x:c>
      <x:c r="B16" s="17" t="str">
        <x:v>AutomationBench</x:v>
      </x:c>
      <x:c r="C16" s="17" t="str">
        <x:v>Operational execution</x:v>
      </x:c>
      <x:c r="D16" s="18" t="n">
        <x:v>46182</x:v>
      </x:c>
      <x:c r="E16" s="17" t="str">
        <x:v>2026-Q2</x:v>
      </x:c>
      <x:c r="F16" s="17" t="n">
        <x:v>10</x:v>
      </x:c>
      <x:c r="G16" s="24" t="n">
        <x:v>0.4617</x:v>
      </x:c>
      <x:c r="H16" s="17" t="str">
        <x:v>Claude Fable 5</x:v>
      </x:c>
      <x:c r="I16" s="17" t="str">
        <x:v>Public 600-task pass rate, max reasoning</x:v>
      </x:c>
      <x:c r="J16" s="17" t="str">
        <x:v>https://github.com/zapier/AutomationBench</x:v>
      </x:c>
      <x:c r="K16" s="17" t="str">
        <x:v>Score rerun under the July 2026 stricter classifier.</x:v>
      </x:c>
    </x:row>
    <x:row r="17" ht="15" hidden="0" customHeight="1">
      <x:c r="A17" s="17" t="str">
        <x:v>OPS-01</x:v>
      </x:c>
      <x:c r="B17" s="17" t="str">
        <x:v>AutomationBench</x:v>
      </x:c>
      <x:c r="C17" s="17" t="str">
        <x:v>Operational execution</x:v>
      </x:c>
      <x:c r="D17" s="18" t="n">
        <x:v>46227</x:v>
      </x:c>
      <x:c r="E17" s="17" t="str">
        <x:v>2026-Q3</x:v>
      </x:c>
      <x:c r="F17" s="17" t="n">
        <x:v>11</x:v>
      </x:c>
      <x:c r="G17" s="24" t="n">
        <x:v>0.503</x:v>
      </x:c>
      <x:c r="H17" s="17" t="str">
        <x:v>Claude Opus 5</x:v>
      </x:c>
      <x:c r="I17" s="17" t="str">
        <x:v>Public 600-task pass rate, max reasoning</x:v>
      </x:c>
      <x:c r="J17" s="17" t="str">
        <x:v>https://github.com/zapier/AutomationBench</x:v>
      </x:c>
      <x:c r="K17" s="17" t="str">
        <x:v>Current public frontier.</x:v>
      </x:c>
    </x:row>
    <x:row r="18" ht="15" hidden="0" customHeight="1">
      <x:c r="A18" s="17" t="str">
        <x:v>OPS-02</x:v>
      </x:c>
      <x:c r="B18" s="17" t="str">
        <x:v>EnterpriseOps-Gym</x:v>
      </x:c>
      <x:c r="C18" s="17" t="str">
        <x:v>Operational execution</x:v>
      </x:c>
      <x:c r="D18" s="18" t="n">
        <x:v>45825</x:v>
      </x:c>
      <x:c r="E18" s="17" t="str">
        <x:v>2025-Q2</x:v>
      </x:c>
      <x:c r="F18" s="17" t="n">
        <x:v>6</x:v>
      </x:c>
      <x:c r="G18" s="24" t="n">
        <x:v>0.2</x:v>
      </x:c>
      <x:c r="H18" s="17" t="str">
        <x:v>Gemini 2.5 Pro</x:v>
      </x:c>
      <x:c r="I18" s="17" t="str">
        <x:v>Strict task success</x:v>
      </x:c>
      <x:c r="J18" s="17" t="str">
        <x:v>https://enterpriseops-gym.github.io/</x:v>
      </x:c>
      <x:c r="K18" s="17" t="str">
        <x:v>Release-quarter frontier.</x:v>
      </x:c>
    </x:row>
    <x:row r="19" ht="15" hidden="0" customHeight="1">
      <x:c r="A19" s="17" t="str">
        <x:v>OPS-02</x:v>
      </x:c>
      <x:c r="B19" s="17" t="str">
        <x:v>EnterpriseOps-Gym</x:v>
      </x:c>
      <x:c r="C19" s="17" t="str">
        <x:v>Operational execution</x:v>
      </x:c>
      <x:c r="D19" s="18" t="n">
        <x:v>45929</x:v>
      </x:c>
      <x:c r="E19" s="17" t="str">
        <x:v>2025-Q3</x:v>
      </x:c>
      <x:c r="F19" s="17" t="n">
        <x:v>7</x:v>
      </x:c>
      <x:c r="G19" s="24" t="n">
        <x:v>0.341</x:v>
      </x:c>
      <x:c r="H19" s="17" t="str">
        <x:v>Claude Sonnet 4.5</x:v>
      </x:c>
      <x:c r="I19" s="17" t="str">
        <x:v>Strict task success</x:v>
      </x:c>
      <x:c r="J19" s="17" t="str">
        <x:v>https://enterpriseops-gym.github.io/</x:v>
      </x:c>
      <x:c r="K19" s="17" t="str">
        <x:v>Release-quarter frontier.</x:v>
      </x:c>
    </x:row>
    <x:row r="20" ht="15" hidden="0" customHeight="1">
      <x:c r="A20" s="17" t="str">
        <x:v>OPS-02</x:v>
      </x:c>
      <x:c r="B20" s="17" t="str">
        <x:v>EnterpriseOps-Gym</x:v>
      </x:c>
      <x:c r="C20" s="17" t="str">
        <x:v>Operational execution</x:v>
      </x:c>
      <x:c r="D20" s="18" t="n">
        <x:v>45985</x:v>
      </x:c>
      <x:c r="E20" s="17" t="str">
        <x:v>2025-Q4</x:v>
      </x:c>
      <x:c r="F20" s="17" t="n">
        <x:v>8</x:v>
      </x:c>
      <x:c r="G20" s="24" t="n">
        <x:v>0.394</x:v>
      </x:c>
      <x:c r="H20" s="17" t="str">
        <x:v>Claude Opus 4.5</x:v>
      </x:c>
      <x:c r="I20" s="17" t="str">
        <x:v>Strict task success</x:v>
      </x:c>
      <x:c r="J20" s="17" t="str">
        <x:v>https://enterpriseops-gym.github.io/</x:v>
      </x:c>
      <x:c r="K20" s="17" t="str">
        <x:v>Release-quarter frontier.</x:v>
      </x:c>
    </x:row>
    <x:row r="21" ht="15" hidden="0" customHeight="1">
      <x:c r="A21" s="17" t="str">
        <x:v>OPS-02</x:v>
      </x:c>
      <x:c r="B21" s="17" t="str">
        <x:v>EnterpriseOps-Gym</x:v>
      </x:c>
      <x:c r="C21" s="17" t="str">
        <x:v>Operational execution</x:v>
      </x:c>
      <x:c r="D21" s="18" t="n">
        <x:v>46058</x:v>
      </x:c>
      <x:c r="E21" s="17" t="str">
        <x:v>2026-Q1</x:v>
      </x:c>
      <x:c r="F21" s="17" t="n">
        <x:v>9</x:v>
      </x:c>
      <x:c r="G21" s="24" t="n">
        <x:v>0.459</x:v>
      </x:c>
      <x:c r="H21" s="17" t="str">
        <x:v>Claude Opus 4.6</x:v>
      </x:c>
      <x:c r="I21" s="17" t="str">
        <x:v>Strict task success</x:v>
      </x:c>
      <x:c r="J21" s="17" t="str">
        <x:v>https://enterpriseops-gym.github.io/</x:v>
      </x:c>
      <x:c r="K21" s="17" t="str">
        <x:v>Release-quarter frontier.</x:v>
      </x:c>
    </x:row>
    <x:row r="22" ht="15" hidden="0" customHeight="1">
      <x:c r="A22" s="17" t="str">
        <x:v>OPS-02</x:v>
      </x:c>
      <x:c r="B22" s="17" t="str">
        <x:v>EnterpriseOps-Gym</x:v>
      </x:c>
      <x:c r="C22" s="17" t="str">
        <x:v>Operational execution</x:v>
      </x:c>
      <x:c r="D22" s="18" t="n">
        <x:v>46204</x:v>
      </x:c>
      <x:c r="E22" s="17" t="str">
        <x:v>2026-Q3</x:v>
      </x:c>
      <x:c r="F22" s="17" t="n">
        <x:v>11</x:v>
      </x:c>
      <x:c r="G22" s="24" t="n">
        <x:v>0.511</x:v>
      </x:c>
      <x:c r="H22" s="17" t="str">
        <x:v>Claude Fable 5 + fallback</x:v>
      </x:c>
      <x:c r="I22" s="17" t="str">
        <x:v>Strict task success</x:v>
      </x:c>
      <x:c r="J22" s="17" t="str">
        <x:v>https://enterpriseops-gym.github.io/</x:v>
      </x:c>
      <x:c r="K22" s="17" t="str">
        <x:v>Harness includes fallback; pin this configuration for future comparison.</x:v>
      </x:c>
    </x:row>
    <x:row r="23" ht="15" hidden="0" customHeight="1">
      <x:c r="A23" s="17" t="str">
        <x:v>OPS-03</x:v>
      </x:c>
      <x:c r="B23" s="17" t="str">
        <x:v>Commerce Agent Bench</x:v>
      </x:c>
      <x:c r="C23" s="17" t="str">
        <x:v>Operational execution</x:v>
      </x:c>
      <x:c r="D23" s="18" t="n">
        <x:v>46008</x:v>
      </x:c>
      <x:c r="E23" s="17" t="str">
        <x:v>2025-Q4</x:v>
      </x:c>
      <x:c r="F23" s="17" t="n">
        <x:v>8</x:v>
      </x:c>
      <x:c r="G23" s="24" t="n">
        <x:v>0.29</x:v>
      </x:c>
      <x:c r="H23" s="17" t="str">
        <x:v>Gemini 3 Flash + Pi</x:v>
      </x:c>
      <x:c r="I23" s="17" t="str">
        <x:v>Pi-harness full-suite pass rate</x:v>
      </x:c>
      <x:c r="J23" s="17" t="str">
        <x:v>https://github.com/Accio-org/CommerceAgentBench</x:v>
      </x:c>
      <x:c r="K23" s="17" t="str">
        <x:v>107-task benchmark snapshot.</x:v>
      </x:c>
    </x:row>
    <x:row r="24" ht="15" hidden="0" customHeight="1">
      <x:c r="A24" s="17" t="str">
        <x:v>OPS-03</x:v>
      </x:c>
      <x:c r="B24" s="17" t="str">
        <x:v>Commerce Agent Bench</x:v>
      </x:c>
      <x:c r="C24" s="17" t="str">
        <x:v>Operational execution</x:v>
      </x:c>
      <x:c r="D24" s="18" t="n">
        <x:v>46143</x:v>
      </x:c>
      <x:c r="E24" s="17" t="str">
        <x:v>2026-Q2</x:v>
      </x:c>
      <x:c r="F24" s="17" t="n">
        <x:v>10</x:v>
      </x:c>
      <x:c r="G24" s="24" t="n">
        <x:v>0.523</x:v>
      </x:c>
      <x:c r="H24" s="17" t="str">
        <x:v>Claude Opus 4.8 + Pi</x:v>
      </x:c>
      <x:c r="I24" s="17" t="str">
        <x:v>Pi-harness full-suite pass rate</x:v>
      </x:c>
      <x:c r="J24" s="17" t="str">
        <x:v>https://github.com/Accio-org/CommerceAgentBench</x:v>
      </x:c>
      <x:c r="K24" s="17" t="str">
        <x:v>Quarter frontier; fixed Pi harness.</x:v>
      </x:c>
    </x:row>
    <x:row r="25" ht="15" hidden="0" customHeight="1">
      <x:c r="A25" s="17" t="str">
        <x:v>OPS-03</x:v>
      </x:c>
      <x:c r="B25" s="17" t="str">
        <x:v>Commerce Agent Bench</x:v>
      </x:c>
      <x:c r="C25" s="17" t="str">
        <x:v>Operational execution</x:v>
      </x:c>
      <x:c r="D25" s="18" t="n">
        <x:v>46227</x:v>
      </x:c>
      <x:c r="E25" s="17" t="str">
        <x:v>2026-Q3</x:v>
      </x:c>
      <x:c r="F25" s="17" t="n">
        <x:v>11</x:v>
      </x:c>
      <x:c r="G25" s="24" t="n">
        <x:v>0.607</x:v>
      </x:c>
      <x:c r="H25" s="17" t="str">
        <x:v>Claude Opus 5 + Pi</x:v>
      </x:c>
      <x:c r="I25" s="17" t="str">
        <x:v>Pi-harness full-suite pass rate</x:v>
      </x:c>
      <x:c r="J25" s="17" t="str">
        <x:v>https://github.com/Accio-org/CommerceAgentBench</x:v>
      </x:c>
      <x:c r="K25" s="17" t="str">
        <x:v>65/107 tasks; fixed Pi harness.</x:v>
      </x:c>
    </x:row>
    <x:row r="26" ht="15" hidden="0" customHeight="1">
      <x:c r="A26" s="17" t="str">
        <x:v>OPS-04</x:v>
      </x:c>
      <x:c r="B26" s="17" t="str">
        <x:v>ClawMark</x:v>
      </x:c>
      <x:c r="C26" s="17" t="str">
        <x:v>Operational execution</x:v>
      </x:c>
      <x:c r="D26" s="18" t="n">
        <x:v>46082</x:v>
      </x:c>
      <x:c r="E26" s="17" t="str">
        <x:v>2026-Q1</x:v>
      </x:c>
      <x:c r="F26" s="17" t="n">
        <x:v>9</x:v>
      </x:c>
      <x:c r="G26" s="24" t="n">
        <x:v>0.758</x:v>
      </x:c>
      <x:c r="H26" s="17" t="str">
        <x:v>Claude Sonnet 4.6</x:v>
      </x:c>
      <x:c r="I26" s="17" t="str">
        <x:v>Avg@3 weighted deterministic-checker score</x:v>
      </x:c>
      <x:c r="J26" s="17" t="str">
        <x:v>https://github.com/evolvent-ai/ClawMark</x:v>
      </x:c>
      <x:c r="K26" s="17" t="str">
        <x:v>One pinned 100-task repo snapshot.</x:v>
      </x:c>
    </x:row>
    <x:row r="27" ht="15" hidden="0" customHeight="1">
      <x:c r="A27" s="17" t="str">
        <x:v>OPS-05</x:v>
      </x:c>
      <x:c r="B27" s="17" t="str">
        <x:v>TheAgentCompany</x:v>
      </x:c>
      <x:c r="C27" s="17" t="str">
        <x:v>Operational execution</x:v>
      </x:c>
      <x:c r="D27" s="18" t="n">
        <x:v>45645</x:v>
      </x:c>
      <x:c r="E27" s="17" t="str">
        <x:v>2024-Q4</x:v>
      </x:c>
      <x:c r="F27" s="17" t="n">
        <x:v>4</x:v>
      </x:c>
      <x:c r="G27" s="24" t="n">
        <x:v>0.24</x:v>
      </x:c>
      <x:c r="H27" s="17" t="str">
        <x:v>Launch-paper best system</x:v>
      </x:c>
      <x:c r="I27" s="17" t="str">
        <x:v>Fraction of tasks completed</x:v>
      </x:c>
      <x:c r="J27" s="17" t="str">
        <x:v>https://arxiv.org/abs/2412.14161</x:v>
      </x:c>
      <x:c r="K27" s="17" t="str">
        <x:v>Primary-paper baseline.</x:v>
      </x:c>
    </x:row>
    <x:row r="28" ht="15" hidden="0" customHeight="1">
      <x:c r="A28" s="17" t="str">
        <x:v>OPS-05</x:v>
      </x:c>
      <x:c r="B28" s="17" t="str">
        <x:v>TheAgentCompany</x:v>
      </x:c>
      <x:c r="C28" s="17" t="str">
        <x:v>Operational execution</x:v>
      </x:c>
      <x:c r="D28" s="18" t="n">
        <x:v>45825</x:v>
      </x:c>
      <x:c r="E28" s="17" t="str">
        <x:v>2025-Q2</x:v>
      </x:c>
      <x:c r="F28" s="17" t="n">
        <x:v>6</x:v>
      </x:c>
      <x:c r="G28" s="24" t="n">
        <x:v>0.303</x:v>
      </x:c>
      <x:c r="H28" s="17" t="str">
        <x:v>Gemini 2.5 Pro</x:v>
      </x:c>
      <x:c r="I28" s="17" t="str">
        <x:v>Fraction of tasks completed</x:v>
      </x:c>
      <x:c r="J28" s="17" t="str">
        <x:v>https://the-agent-company.com/</x:v>
      </x:c>
      <x:c r="K28" s="17" t="str">
        <x:v>Later leaderboard configuration; comparability caveat.</x:v>
      </x:c>
    </x:row>
    <x:row r="29" ht="15" hidden="0" customHeight="1">
      <x:c r="A29" s="17" t="str">
        <x:v>OPS-05</x:v>
      </x:c>
      <x:c r="B29" s="17" t="str">
        <x:v>TheAgentCompany</x:v>
      </x:c>
      <x:c r="C29" s="17" t="str">
        <x:v>Operational execution</x:v>
      </x:c>
      <x:c r="D29" s="18" t="n">
        <x:v>45901</x:v>
      </x:c>
      <x:c r="E29" s="17" t="str">
        <x:v>2025-Q3</x:v>
      </x:c>
      <x:c r="F29" s="17" t="n">
        <x:v>7</x:v>
      </x:c>
      <x:c r="G29" s="24" t="n">
        <x:v>0.429</x:v>
      </x:c>
      <x:c r="H29" s="17" t="str">
        <x:v>DeepSeek V3.2 + specialized harness</x:v>
      </x:c>
      <x:c r="I29" s="17" t="str">
        <x:v>Fraction of tasks completed</x:v>
      </x:c>
      <x:c r="J29" s="17" t="str">
        <x:v>https://the-agent-company.com/</x:v>
      </x:c>
      <x:c r="K29" s="17" t="str">
        <x:v>Community/specialized harness; system-level frontier.</x:v>
      </x:c>
    </x:row>
    <x:row r="30" ht="15" hidden="0" customHeight="1">
      <x:c r="A30" s="17" t="str">
        <x:v>OPS-07</x:v>
      </x:c>
      <x:c r="B30" s="17" t="str">
        <x:v>Finch / FinWorkBench</x:v>
      </x:c>
      <x:c r="C30" s="17" t="str">
        <x:v>Operational execution</x:v>
      </x:c>
      <x:c r="D30" s="18" t="n">
        <x:v>45974</x:v>
      </x:c>
      <x:c r="E30" s="17" t="str">
        <x:v>2025-Q4</x:v>
      </x:c>
      <x:c r="F30" s="17" t="n">
        <x:v>8</x:v>
      </x:c>
      <x:c r="G30" s="24" t="n">
        <x:v>0.384</x:v>
      </x:c>
      <x:c r="H30" s="17" t="str">
        <x:v>GPT-5.1 Pro</x:v>
      </x:c>
      <x:c r="I30" s="17" t="str">
        <x:v>Strict finance-work task pass rate</x:v>
      </x:c>
      <x:c r="J30" s="17" t="str">
        <x:v>https://aclanthology.org/2026.findings-acl.523/</x:v>
      </x:c>
      <x:c r="K30" s="17" t="str">
        <x:v>Model release-quarter assignment; publication followed in 2026.</x:v>
      </x:c>
    </x:row>
    <x:row r="31" ht="15" hidden="0" customHeight="1">
      <x:c r="A31" s="17" t="str">
        <x:v>OPS-08</x:v>
      </x:c>
      <x:c r="B31" s="17" t="str">
        <x:v>tau3 Banking</x:v>
      </x:c>
      <x:c r="C31" s="17" t="str">
        <x:v>Operational execution</x:v>
      </x:c>
      <x:c r="D31" s="18" t="n">
        <x:v>45929</x:v>
      </x:c>
      <x:c r="E31" s="17" t="str">
        <x:v>2025-Q3</x:v>
      </x:c>
      <x:c r="F31" s="17" t="n">
        <x:v>7</x:v>
      </x:c>
      <x:c r="G31" s="24" t="n">
        <x:v>0.253</x:v>
      </x:c>
      <x:c r="H31" s="17" t="str">
        <x:v>Claude Sonnet 4.5</x:v>
      </x:c>
      <x:c r="I31" s="17" t="str">
        <x:v>tau3 Banking strict success</x:v>
      </x:c>
      <x:c r="J31" s="17" t="str">
        <x:v>https://taubench.com/leaderboard/</x:v>
      </x:c>
      <x:c r="K31" s="17" t="str">
        <x:v>Release-quarter frontier.</x:v>
      </x:c>
    </x:row>
    <x:row r="32" ht="15" hidden="0" customHeight="1">
      <x:c r="A32" s="17" t="str">
        <x:v>OPS-08</x:v>
      </x:c>
      <x:c r="B32" s="17" t="str">
        <x:v>tau3 Banking</x:v>
      </x:c>
      <x:c r="C32" s="17" t="str">
        <x:v>Operational execution</x:v>
      </x:c>
      <x:c r="D32" s="18" t="n">
        <x:v>46002</x:v>
      </x:c>
      <x:c r="E32" s="17" t="str">
        <x:v>2025-Q4</x:v>
      </x:c>
      <x:c r="F32" s="17" t="n">
        <x:v>8</x:v>
      </x:c>
      <x:c r="G32" s="24" t="n">
        <x:v>0.322</x:v>
      </x:c>
      <x:c r="H32" s="17" t="str">
        <x:v>GPT-5.2</x:v>
      </x:c>
      <x:c r="I32" s="17" t="str">
        <x:v>tau3 Banking strict success</x:v>
      </x:c>
      <x:c r="J32" s="17" t="str">
        <x:v>https://taubench.com/leaderboard/</x:v>
      </x:c>
      <x:c r="K32" s="17" t="str">
        <x:v>Release-quarter frontier.</x:v>
      </x:c>
    </x:row>
    <x:row r="33" ht="15" hidden="0" customHeight="1">
      <x:c r="A33" s="17" t="str">
        <x:v>OPS-08</x:v>
      </x:c>
      <x:c r="B33" s="17" t="str">
        <x:v>tau3 Banking</x:v>
      </x:c>
      <x:c r="C33" s="17" t="str">
        <x:v>Operational execution</x:v>
      </x:c>
      <x:c r="D33" s="18" t="n">
        <x:v>46086</x:v>
      </x:c>
      <x:c r="E33" s="17" t="str">
        <x:v>2026-Q1</x:v>
      </x:c>
      <x:c r="F33" s="17" t="n">
        <x:v>9</x:v>
      </x:c>
      <x:c r="G33" s="24" t="n">
        <x:v>0.394</x:v>
      </x:c>
      <x:c r="H33" s="17" t="str">
        <x:v>GPT-5.4</x:v>
      </x:c>
      <x:c r="I33" s="17" t="str">
        <x:v>tau3 Banking strict success</x:v>
      </x:c>
      <x:c r="J33" s="17" t="str">
        <x:v>https://taubench.com/leaderboard/</x:v>
      </x:c>
      <x:c r="K33" s="17" t="str">
        <x:v>Release-quarter frontier.</x:v>
      </x:c>
    </x:row>
    <x:row r="34" ht="15" hidden="0" customHeight="1">
      <x:c r="A34" s="17" t="str">
        <x:v>OPS-08</x:v>
      </x:c>
      <x:c r="B34" s="17" t="str">
        <x:v>tau3 Banking</x:v>
      </x:c>
      <x:c r="C34" s="17" t="str">
        <x:v>Operational execution</x:v>
      </x:c>
      <x:c r="D34" s="18" t="n">
        <x:v>46143</x:v>
      </x:c>
      <x:c r="E34" s="17" t="str">
        <x:v>2026-Q2</x:v>
      </x:c>
      <x:c r="F34" s="17" t="n">
        <x:v>10</x:v>
      </x:c>
      <x:c r="G34" s="24" t="n">
        <x:v>0.446</x:v>
      </x:c>
      <x:c r="H34" s="17" t="str">
        <x:v>GPT-5.5</x:v>
      </x:c>
      <x:c r="I34" s="17" t="str">
        <x:v>tau3 Banking strict success</x:v>
      </x:c>
      <x:c r="J34" s="17" t="str">
        <x:v>https://taubench.com/leaderboard/</x:v>
      </x:c>
      <x:c r="K34" s="17" t="str">
        <x:v>Release-quarter frontier.</x:v>
      </x:c>
    </x:row>
    <x:row r="35" ht="15" hidden="0" customHeight="1">
      <x:c r="A35" s="17" t="str">
        <x:v>OPS-08</x:v>
      </x:c>
      <x:c r="B35" s="17" t="str">
        <x:v>tau3 Banking</x:v>
      </x:c>
      <x:c r="C35" s="17" t="str">
        <x:v>Operational execution</x:v>
      </x:c>
      <x:c r="D35" s="18" t="n">
        <x:v>46235</x:v>
      </x:c>
      <x:c r="E35" s="17" t="str">
        <x:v>2026-Q3</x:v>
      </x:c>
      <x:c r="F35" s="17" t="n">
        <x:v>11</x:v>
      </x:c>
      <x:c r="G35" s="24" t="n">
        <x:v>0.552</x:v>
      </x:c>
      <x:c r="H35" s="17" t="str">
        <x:v>Qwen 3.8 Max</x:v>
      </x:c>
      <x:c r="I35" s="17" t="str">
        <x:v>tau3 Banking strict success</x:v>
      </x:c>
      <x:c r="J35" s="17" t="str">
        <x:v>https://taubench.com/leaderboard/</x:v>
      </x:c>
      <x:c r="K35" s="17" t="str">
        <x:v>Current quarter frontier.</x:v>
      </x:c>
    </x:row>
    <x:row r="36" ht="15" hidden="0" customHeight="1">
      <x:c r="A36" s="17" t="str">
        <x:v>PER-01</x:v>
      </x:c>
      <x:c r="B36" s="17" t="str">
        <x:v>MyPCBench</x:v>
      </x:c>
      <x:c r="C36" s="17" t="str">
        <x:v>Personal stewardship transfer</x:v>
      </x:c>
      <x:c r="D36" s="18" t="n">
        <x:v>46058</x:v>
      </x:c>
      <x:c r="E36" s="17" t="str">
        <x:v>2026-Q1</x:v>
      </x:c>
      <x:c r="F36" s="17" t="n">
        <x:v>9</x:v>
      </x:c>
      <x:c r="G36" s="24" t="n">
        <x:v>0.582</x:v>
      </x:c>
      <x:c r="H36" s="17" t="str">
        <x:v>Claude Opus 4.6</x:v>
      </x:c>
      <x:c r="I36" s="17" t="str">
        <x:v>Perfect task success rate</x:v>
      </x:c>
      <x:c r="J36" s="17" t="str">
        <x:v>https://mypcbench.com/</x:v>
      </x:c>
      <x:c r="K36" s="17" t="str">
        <x:v>Current published frontier; newer models may be missing.</x:v>
      </x:c>
    </x:row>
    <x:row r="37" ht="15" hidden="0" customHeight="1">
      <x:c r="A37" s="17" t="str">
        <x:v>PER-02</x:v>
      </x:c>
      <x:c r="B37" s="17" t="str">
        <x:v>pi-Bench</x:v>
      </x:c>
      <x:c r="C37" s="17" t="str">
        <x:v>Personal stewardship transfer</x:v>
      </x:c>
      <x:c r="D37" s="18" t="n">
        <x:v>46058</x:v>
      </x:c>
      <x:c r="E37" s="17" t="str">
        <x:v>2026-Q1</x:v>
      </x:c>
      <x:c r="F37" s="17" t="n">
        <x:v>9</x:v>
      </x:c>
      <x:c r="G37" s="24" t="n">
        <x:v>0.676</x:v>
      </x:c>
      <x:c r="H37" s="17" t="str">
        <x:v>Claude Opus 4.6</x:v>
      </x:c>
      <x:c r="I37" s="17" t="str">
        <x:v>Completeness checklist score</x:v>
      </x:c>
      <x:c r="J37" s="17" t="str">
        <x:v>https://arxiv.org/html/2605.14678v3</x:v>
      </x:c>
      <x:c r="K37" s="17" t="str">
        <x:v>One comparable frontier point.</x:v>
      </x:c>
    </x:row>
    <x:row r="38" ht="15" hidden="0" customHeight="1">
      <x:c r="A38" s="17" t="str">
        <x:v>PER-03</x:v>
      </x:c>
      <x:c r="B38" s="17" t="str">
        <x:v>ClawBench</x:v>
      </x:c>
      <x:c r="C38" s="17" t="str">
        <x:v>Personal stewardship transfer</x:v>
      </x:c>
      <x:c r="D38" s="18" t="n">
        <x:v>46174</x:v>
      </x:c>
      <x:c r="E38" s="17" t="str">
        <x:v>2026-Q2</x:v>
      </x:c>
      <x:c r="F38" s="17" t="n">
        <x:v>10</x:v>
      </x:c>
      <x:c r="G38" s="24" t="n">
        <x:v>0.333</x:v>
      </x:c>
      <x:c r="H38" s="17" t="str">
        <x:v>Current top system</x:v>
      </x:c>
      <x:c r="I38" s="17" t="str">
        <x:v>Standardized ClawBench score</x:v>
      </x:c>
      <x:c r="J38" s="17" t="str">
        <x:v>https://github.com/TIGER-AI-Lab/ClawBench</x:v>
      </x:c>
      <x:c r="K38" s="17" t="str">
        <x:v>One public frontier point; pin repository version.</x:v>
      </x:c>
    </x:row>
    <x:row r="39" ht="15" hidden="0" customHeight="1">
      <x:c r="A39" s="17" t="str">
        <x:v>PER-04</x:v>
      </x:c>
      <x:c r="B39" s="17" t="str">
        <x:v>AssistantBench</x:v>
      </x:c>
      <x:c r="C39" s="17" t="str">
        <x:v>Personal stewardship transfer</x:v>
      </x:c>
      <x:c r="D39" s="18" t="n">
        <x:v>45545</x:v>
      </x:c>
      <x:c r="E39" s="17" t="str">
        <x:v>2024-Q3</x:v>
      </x:c>
      <x:c r="F39" s="17" t="n">
        <x:v>3</x:v>
      </x:c>
      <x:c r="G39" s="24" t="n">
        <x:v>0.252</x:v>
      </x:c>
      <x:c r="H39" s="17" t="str">
        <x:v>Launch-paper top system</x:v>
      </x:c>
      <x:c r="I39" s="17" t="str">
        <x:v>Assistant task accuracy</x:v>
      </x:c>
      <x:c r="J39" s="17" t="str">
        <x:v>https://assistantbench.github.io/</x:v>
      </x:c>
      <x:c r="K39" s="17" t="str">
        <x:v>Original benchmark configuration.</x:v>
      </x:c>
    </x:row>
    <x:row r="40" ht="15" hidden="0" customHeight="1">
      <x:c r="A40" s="17" t="str">
        <x:v>PER-04</x:v>
      </x:c>
      <x:c r="B40" s="17" t="str">
        <x:v>AssistantBench</x:v>
      </x:c>
      <x:c r="C40" s="17" t="str">
        <x:v>Personal stewardship transfer</x:v>
      </x:c>
      <x:c r="D40" s="18" t="n">
        <x:v>45876</x:v>
      </x:c>
      <x:c r="E40" s="17" t="str">
        <x:v>2025-Q3</x:v>
      </x:c>
      <x:c r="F40" s="17" t="n">
        <x:v>7</x:v>
      </x:c>
      <x:c r="G40" s="24" t="n">
        <x:v>0.367</x:v>
      </x:c>
      <x:c r="H40" s="17" t="str">
        <x:v>GPT-5</x:v>
      </x:c>
      <x:c r="I40" s="17" t="str">
        <x:v>Assistant task accuracy</x:v>
      </x:c>
      <x:c r="J40" s="17" t="str">
        <x:v>https://hal.cs.princeton.edu/assistantbench</x:v>
      </x:c>
      <x:c r="K40" s="17" t="str">
        <x:v>Updated HAL leaderboard/configuration; system-level trend only.</x:v>
      </x:c>
    </x:row>
    <x:row r="41" ht="15" hidden="0" customHeight="1">
      <x:c r="A41" s="17" t="str">
        <x:v>VAL-02</x:v>
      </x:c>
      <x:c r="B41" s="17" t="str">
        <x:v>Remote Labor Index</x:v>
      </x:c>
      <x:c r="C41" s="17" t="str">
        <x:v>Economic value &amp; governance</x:v>
      </x:c>
      <x:c r="D41" s="18" t="n">
        <x:v>45929</x:v>
      </x:c>
      <x:c r="E41" s="17" t="str">
        <x:v>2025-Q3</x:v>
      </x:c>
      <x:c r="F41" s="17" t="n">
        <x:v>7</x:v>
      </x:c>
      <x:c r="G41" s="24" t="n">
        <x:v>0.0208</x:v>
      </x:c>
      <x:c r="H41" s="17" t="str">
        <x:v>Claude Sonnet 4.5</x:v>
      </x:c>
      <x:c r="I41" s="17" t="str">
        <x:v>Strict end-to-end automation rate</x:v>
      </x:c>
      <x:c r="J41" s="17" t="str">
        <x:v>https://www.remotelabor.ai/</x:v>
      </x:c>
      <x:c r="K41" s="17" t="str">
        <x:v>Quarter frontier.</x:v>
      </x:c>
    </x:row>
    <x:row r="42" ht="15" hidden="0" customHeight="1">
      <x:c r="A42" s="17" t="str">
        <x:v>VAL-02</x:v>
      </x:c>
      <x:c r="B42" s="17" t="str">
        <x:v>Remote Labor Index</x:v>
      </x:c>
      <x:c r="C42" s="17" t="str">
        <x:v>Economic value &amp; governance</x:v>
      </x:c>
      <x:c r="D42" s="18" t="n">
        <x:v>45985</x:v>
      </x:c>
      <x:c r="E42" s="17" t="str">
        <x:v>2025-Q4</x:v>
      </x:c>
      <x:c r="F42" s="17" t="n">
        <x:v>8</x:v>
      </x:c>
      <x:c r="G42" s="24" t="n">
        <x:v>0.0375</x:v>
      </x:c>
      <x:c r="H42" s="17" t="str">
        <x:v>Claude Opus 4.5</x:v>
      </x:c>
      <x:c r="I42" s="17" t="str">
        <x:v>Strict end-to-end automation rate</x:v>
      </x:c>
      <x:c r="J42" s="17" t="str">
        <x:v>https://www.remotelabor.ai/</x:v>
      </x:c>
      <x:c r="K42" s="17" t="str">
        <x:v>Quarter frontier.</x:v>
      </x:c>
    </x:row>
    <x:row r="43" ht="15" hidden="0" customHeight="1">
      <x:c r="A43" s="17" t="str">
        <x:v>VAL-02</x:v>
      </x:c>
      <x:c r="B43" s="17" t="str">
        <x:v>Remote Labor Index</x:v>
      </x:c>
      <x:c r="C43" s="17" t="str">
        <x:v>Economic value &amp; governance</x:v>
      </x:c>
      <x:c r="D43" s="18" t="n">
        <x:v>46058</x:v>
      </x:c>
      <x:c r="E43" s="17" t="str">
        <x:v>2026-Q1</x:v>
      </x:c>
      <x:c r="F43" s="17" t="n">
        <x:v>9</x:v>
      </x:c>
      <x:c r="G43" s="24" t="n">
        <x:v>0.0417</x:v>
      </x:c>
      <x:c r="H43" s="17" t="str">
        <x:v>Claude Opus 4.6</x:v>
      </x:c>
      <x:c r="I43" s="17" t="str">
        <x:v>Strict end-to-end automation rate</x:v>
      </x:c>
      <x:c r="J43" s="17" t="str">
        <x:v>https://www.remotelabor.ai/</x:v>
      </x:c>
      <x:c r="K43" s="17" t="str">
        <x:v>Quarter frontier.</x:v>
      </x:c>
    </x:row>
    <x:row r="44" ht="15" hidden="0" customHeight="1">
      <x:c r="A44" s="17" t="str">
        <x:v>VAL-02</x:v>
      </x:c>
      <x:c r="B44" s="17" t="str">
        <x:v>Remote Labor Index</x:v>
      </x:c>
      <x:c r="C44" s="17" t="str">
        <x:v>Economic value &amp; governance</x:v>
      </x:c>
      <x:c r="D44" s="18" t="n">
        <x:v>46182</x:v>
      </x:c>
      <x:c r="E44" s="17" t="str">
        <x:v>2026-Q2</x:v>
      </x:c>
      <x:c r="F44" s="17" t="n">
        <x:v>10</x:v>
      </x:c>
      <x:c r="G44" s="24" t="n">
        <x:v>0.158</x:v>
      </x:c>
      <x:c r="H44" s="17" t="str">
        <x:v>Claude Fable 5</x:v>
      </x:c>
      <x:c r="I44" s="17" t="str">
        <x:v>Strict end-to-end automation rate</x:v>
      </x:c>
      <x:c r="J44" s="17" t="str">
        <x:v>https://www.remotelabor.ai/</x:v>
      </x:c>
      <x:c r="K44" s="17" t="str">
        <x:v>Current frontier; large quarter jump merits caution.</x:v>
      </x:c>
    </x:row>
    <x:row r="45" ht="15" hidden="0" customHeight="1">
      <x:c r="A45" s="17" t="str">
        <x:v>VAL-04</x:v>
      </x:c>
      <x:c r="B45" s="17" t="str">
        <x:v>Claw-Eval</x:v>
      </x:c>
      <x:c r="C45" s="17" t="str">
        <x:v>Economic value &amp; governance</x:v>
      </x:c>
      <x:c r="D45" s="18" t="n">
        <x:v>46058</x:v>
      </x:c>
      <x:c r="E45" s="17" t="str">
        <x:v>2026-Q1</x:v>
      </x:c>
      <x:c r="F45" s="17" t="n">
        <x:v>9</x:v>
      </x:c>
      <x:c r="G45" s="24" t="n">
        <x:v>0.704</x:v>
      </x:c>
      <x:c r="H45" s="17" t="str">
        <x:v>Claude Opus 4.6</x:v>
      </x:c>
      <x:c r="I45" s="17" t="str">
        <x:v>Pass^3 governed-agent score</x:v>
      </x:c>
      <x:c r="J45" s="17" t="str">
        <x:v>https://github.com/claw-eval/claw-eval</x:v>
      </x:c>
      <x:c r="K45" s="17" t="str">
        <x:v>One current frontier point.</x:v>
      </x:c>
    </x:row>
  </x:sheetData>
  <x:mergeCells>
    <x:mergeCell ref="A1:K2"/>
    <x:mergeCell ref="A3:K3"/>
  </x:mergeCells>
  <x:dataValidations count="2">
    <x:dataValidation operator="between" sqref="F6:F45">
      <x:formula1>1</x:formula1>
      <x:formula2>20</x:formula2>
    </x:dataValidation>
    <x:dataValidation type="decimal" operator="between" sqref="G6:G45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6acc160b8ed452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25" hidden="0" customWidth="1"/>
    <x:col min="4" max="4" width="43" hidden="0" customWidth="1"/>
    <x:col min="5" max="5" width="44" hidden="0" customWidth="1"/>
    <x:col min="6" max="6" width="12" hidden="0" customWidth="1"/>
    <x:col min="7" max="7" width="15" hidden="0" customWidth="1"/>
    <x:col min="8" max="8" width="48" hidden="0" customWidth="1"/>
    <x:col min="9" max="9" width="48" hidden="0" customWidth="1"/>
  </x:cols>
  <x:sheetData>
    <x:row r="1" ht="28" customHeight="1">
      <x:c r="A1" s="3" t="str">
        <x:v>Benchmark Catalog</x:v>
      </x:c>
      <x:c r="B1" s="3" t="str">
        <x:v>Benchmark Catalog</x:v>
      </x:c>
      <x:c r="C1" s="3" t="str">
        <x:v>Benchmark Catalog</x:v>
      </x:c>
      <x:c r="D1" s="3" t="str">
        <x:v>Benchmark Catalog</x:v>
      </x:c>
      <x:c r="E1" s="3" t="str">
        <x:v>Benchmark Catalog</x:v>
      </x:c>
      <x:c r="F1" s="3" t="str">
        <x:v>Benchmark Catalog</x:v>
      </x:c>
      <x:c r="G1" s="3" t="str">
        <x:v>Benchmark Catalog</x:v>
      </x:c>
      <x:c r="H1" s="3" t="str">
        <x:v>Benchmark Catalog</x:v>
      </x:c>
      <x:c r="I1" s="3" t="str">
        <x:v>Benchmark Catalog</x:v>
      </x:c>
    </x:row>
    <x:row r="2" ht="28" customHeight="1">
      <x:c r="A2" s="3" t="str">
        <x:v>Benchmark Catalog</x:v>
      </x:c>
      <x:c r="B2" s="3" t="str">
        <x:v>Benchmark Catalog</x:v>
      </x:c>
      <x:c r="C2" s="3" t="str">
        <x:v>Benchmark Catalog</x:v>
      </x:c>
      <x:c r="D2" s="3" t="str">
        <x:v>Benchmark Catalog</x:v>
      </x:c>
      <x:c r="E2" s="3" t="str">
        <x:v>Benchmark Catalog</x:v>
      </x:c>
      <x:c r="F2" s="3" t="str">
        <x:v>Benchmark Catalog</x:v>
      </x:c>
      <x:c r="G2" s="3" t="str">
        <x:v>Benchmark Catalog</x:v>
      </x:c>
      <x:c r="H2" s="3" t="str">
        <x:v>Benchmark Catalog</x:v>
      </x:c>
      <x:c r="I2" s="3" t="str">
        <x:v>Benchmark Catalog</x:v>
      </x:c>
    </x:row>
    <x:row r="3" ht="15" hidden="0" customHeight="1">
      <x:c r="A3" s="6" t="str">
        <x:v>A benchmark can remain strategically important while ungraded. Ungraded rows are preserved until a defensible 0–100% normalization is available.</x:v>
      </x:c>
      <x:c r="B3" s="6" t="str">
        <x:v>A benchmark can remain strategically important while ungraded. Ungraded rows are preserved until a defensible 0–100% normalization is available.</x:v>
      </x:c>
      <x:c r="C3" s="6" t="str">
        <x:v>A benchmark can remain strategically important while ungraded. Ungraded rows are preserved until a defensible 0–100% normalization is available.</x:v>
      </x:c>
      <x:c r="D3" s="6" t="str">
        <x:v>A benchmark can remain strategically important while ungraded. Ungraded rows are preserved until a defensible 0–100% normalization is available.</x:v>
      </x:c>
      <x:c r="E3" s="6" t="str">
        <x:v>A benchmark can remain strategically important while ungraded. Ungraded rows are preserved until a defensible 0–100% normalization is available.</x:v>
      </x:c>
      <x:c r="F3" s="6" t="str">
        <x:v>A benchmark can remain strategically important while ungraded. Ungraded rows are preserved until a defensible 0–100% normalization is available.</x:v>
      </x:c>
      <x:c r="G3" s="6" t="str">
        <x:v>A benchmark can remain strategically important while ungraded. Ungraded rows are preserved until a defensible 0–100% normalization is available.</x:v>
      </x:c>
      <x:c r="H3" s="6" t="str">
        <x:v>A benchmark can remain strategically important while ungraded. Ungraded rows are preserved until a defensible 0–100% normalization is available.</x:v>
      </x:c>
      <x:c r="I3" s="6" t="str">
        <x:v>A benchmark can remain strategically important while ungraded. Ungraded rows are preserved until a defensible 0–100% normalization is available.</x:v>
      </x:c>
    </x:row>
    <x:row r="4"/>
    <x:row r="5" ht="38" hidden="0" customHeight="1">
      <x:c r="A5" s="13" t="str">
        <x:v>Benchmark ID</x:v>
      </x:c>
      <x:c r="B5" s="13" t="str">
        <x:v>Category</x:v>
      </x:c>
      <x:c r="C5" s="13" t="str">
        <x:v>Benchmark Name</x:v>
      </x:c>
      <x:c r="D5" s="13" t="str">
        <x:v>Primary score used</x:v>
      </x:c>
      <x:c r="E5" s="13" t="str">
        <x:v>Normalization rule</x:v>
      </x:c>
      <x:c r="F5" s="13" t="str">
        <x:v>Status</x:v>
      </x:c>
      <x:c r="G5" s="13" t="str">
        <x:v>First release quarter</x:v>
      </x:c>
      <x:c r="H5" s="13" t="str">
        <x:v>Primary URL</x:v>
      </x:c>
      <x:c r="I5" s="13" t="str">
        <x:v>Notes</x:v>
      </x:c>
    </x:row>
    <x:row r="6" ht="15" hidden="0" customHeight="1">
      <x:c r="A6" s="17" t="str">
        <x:v>DES-01</x:v>
      </x:c>
      <x:c r="B6" s="17" t="str">
        <x:v>Direct economic stewardship</x:v>
      </x:c>
      <x:c r="C6" s="17" t="str">
        <x:v>Vending-Bench 2</x:v>
      </x:c>
      <x:c r="D6" s="17" t="str">
        <x:v>Frontier ending balance / $63,000 published good-strategy target</x:v>
      </x:c>
      <x:c r="E6" s="17" t="str">
        <x:v>Cap at 100%; target is a published strategy anchor, not a human ceiling</x:v>
      </x:c>
      <x:c r="F6" s="17" t="str">
        <x:v>Graded</x:v>
      </x:c>
      <x:c r="G6" s="17" t="str">
        <x:v>2025-Q4</x:v>
      </x:c>
      <x:c r="H6" s="17" t="str">
        <x:v>https://andonlabs.com/evals/vending-bench-2</x:v>
      </x:c>
      <x:c r="I6" s="17" t="str">
        <x:v>Year-long autonomous retail operation; balance is path dependent.</x:v>
      </x:c>
    </x:row>
    <x:row r="7" ht="15" hidden="0" customHeight="1">
      <x:c r="A7" s="17" t="str">
        <x:v>DES-02</x:v>
      </x:c>
      <x:c r="B7" s="17" t="str">
        <x:v>Direct economic stewardship</x:v>
      </x:c>
      <x:c r="C7" s="17" t="str">
        <x:v>CEO-Bench</x:v>
      </x:c>
      <x:c r="D7" s="17" t="str">
        <x:v>Frontier best-run final cash / $2.2B estimated upper bound</x:v>
      </x:c>
      <x:c r="E7" s="17" t="str">
        <x:v>Cap at 100%; only three runs per model, so treat as high variance</x:v>
      </x:c>
      <x:c r="F7" s="17" t="str">
        <x:v>Graded</x:v>
      </x:c>
      <x:c r="G7" s="17" t="str">
        <x:v>2026-Q2</x:v>
      </x:c>
      <x:c r="H7" s="17" t="str">
        <x:v>https://ceobench.com/</x:v>
      </x:c>
      <x:c r="I7" s="17" t="str">
        <x:v>500-day startup simulation from $1M initial cash.</x:v>
      </x:c>
    </x:row>
    <x:row r="8" ht="21.600000381469727" hidden="0" customHeight="1">
      <x:c r="A8" s="17" t="str">
        <x:v>DES-03</x:v>
      </x:c>
      <x:c r="B8" s="17" t="str">
        <x:v>Direct economic stewardship</x:v>
      </x:c>
      <x:c r="C8" s="17" t="str">
        <x:v>YC-Bench</x:v>
      </x:c>
      <x:c r="D8" s="17" t="str">
        <x:v>Frontier mean final funds / $1M published substantial-profit threshold</x:v>
      </x:c>
      <x:c r="E8" s="17" t="str">
        <x:v>Cap at 100%; provisional target-normalized score because no human/oracle result is published</x:v>
      </x:c>
      <x:c r="F8" s="17" t="str">
        <x:v>Graded</x:v>
      </x:c>
      <x:c r="G8" s="17" t="str">
        <x:v>2026-Q2</x:v>
      </x:c>
      <x:c r="H8" s="17" t="str">
        <x:v>https://arxiv.org/abs/2604.01212</x:v>
      </x:c>
      <x:c r="I8" s="17" t="str">
        <x:v>The frontier exceeds the paper's 5×-capital threshold, so this score is saturated and needs a harder future anchor.</x:v>
      </x:c>
    </x:row>
    <x:row r="9" ht="21.600000381469727" hidden="0" customHeight="1">
      <x:c r="A9" s="17" t="str">
        <x:v>DES-04</x:v>
      </x:c>
      <x:c r="B9" s="17" t="str">
        <x:v>Direct economic stewardship</x:v>
      </x:c>
      <x:c r="C9" s="17" t="str">
        <x:v>Business Arena</x:v>
      </x:c>
      <x:c r="D9" s="17" t="str">
        <x:v>Best-model mean final worth / $436,195 expert-strategy final worth</x:v>
      </x:c>
      <x:c r="E9" s="17" t="str">
        <x:v>Cap at 100%; fixed expert strategy uses agent-visible information in the same world</x:v>
      </x:c>
      <x:c r="F9" s="17" t="str">
        <x:v>Graded</x:v>
      </x:c>
      <x:c r="G9" s="17" t="str">
        <x:v>2026-Q3</x:v>
      </x:c>
      <x:c r="H9" s="17" t="str">
        <x:v>https://arxiv.org/abs/2608.08621</x:v>
      </x:c>
      <x:c r="I9" s="17" t="str">
        <x:v>Ten-run model mean divided by the strongest published expert-designed strategy outcome.</x:v>
      </x:c>
    </x:row>
    <x:row r="10" ht="15" hidden="0" customHeight="1">
      <x:c r="A10" s="17" t="str">
        <x:v>DES-05</x:v>
      </x:c>
      <x:c r="B10" s="17" t="str">
        <x:v>Direct economic stewardship</x:v>
      </x:c>
      <x:c r="C10" s="17" t="str">
        <x:v>EnterpriseArena</x:v>
      </x:c>
      <x:c r="D10" s="17" t="str">
        <x:v>Best-model full-horizon survival rate</x:v>
      </x:c>
      <x:c r="E10" s="17" t="str">
        <x:v>Already a 0–100% rate; use frontier survival</x:v>
      </x:c>
      <x:c r="F10" s="17" t="str">
        <x:v>Graded</x:v>
      </x:c>
      <x:c r="G10" s="17" t="str">
        <x:v>2026-Q1</x:v>
      </x:c>
      <x:c r="H10" s="17" t="str">
        <x:v>https://arxiv.org/abs/2603.23638</x:v>
      </x:c>
      <x:c r="I10" s="17" t="str">
        <x:v>132-month CFO simulator; current point has limited-run uncertainty.</x:v>
      </x:c>
    </x:row>
    <x:row r="11" ht="21.600000381469727" hidden="0" customHeight="1">
      <x:c r="A11" s="17" t="str">
        <x:v>DES-06</x:v>
      </x:c>
      <x:c r="B11" s="17" t="str">
        <x:v>Direct economic stewardship</x:v>
      </x:c>
      <x:c r="C11" s="17" t="str">
        <x:v>RetailBench</x:v>
      </x:c>
      <x:c r="D11" s="17" t="str">
        <x:v>Best LLM final net worth / $131,510.42 oracle final net worth</x:v>
      </x:c>
      <x:c r="E11" s="17" t="str">
        <x:v>Cap at 100%; privileged oracle is a ceiling-like reference, not a human-equivalent baseline</x:v>
      </x:c>
      <x:c r="F11" s="17" t="str">
        <x:v>Graded</x:v>
      </x:c>
      <x:c r="G11" s="17" t="str">
        <x:v>2026-Q1</x:v>
      </x:c>
      <x:c r="H11" s="17" t="str">
        <x:v>https://arxiv.org/abs/2603.16453</x:v>
      </x:c>
      <x:c r="I11" s="17" t="str">
        <x:v>Uses the v3 selected-run table; result is framework-selected and not a repeated-run mean.</x:v>
      </x:c>
    </x:row>
    <x:row r="12" ht="21.600000381469727" hidden="0" customHeight="1">
      <x:c r="A12" s="17" t="str">
        <x:v>DES-07</x:v>
      </x:c>
      <x:c r="B12" s="17" t="str">
        <x:v>Direct economic stewardship</x:v>
      </x:c>
      <x:c r="C12" s="17" t="str">
        <x:v>MerchantBench</x:v>
      </x:c>
      <x:c r="D12" s="17" t="str">
        <x:v>Best LLM mean final net assets / human-participant mean</x:v>
      </x:c>
      <x:c r="E12" s="17" t="str">
        <x:v>Use the authors' reported 27.3% human-relative ratio</x:v>
      </x:c>
      <x:c r="F12" s="17" t="str">
        <x:v>Graded</x:v>
      </x:c>
      <x:c r="G12" s="17" t="str">
        <x:v>2026-Q3</x:v>
      </x:c>
      <x:c r="H12" s="17" t="str">
        <x:v>https://arxiv.org/abs/2607.28956</x:v>
      </x:c>
      <x:c r="I12" s="17" t="str">
        <x:v>Three runs per model-framework pairing; human reference is three non-expert participants.</x:v>
      </x:c>
    </x:row>
    <x:row r="13" ht="15" hidden="0" customHeight="1">
      <x:c r="A13" s="17" t="str">
        <x:v>OPS-01</x:v>
      </x:c>
      <x:c r="B13" s="17" t="str">
        <x:v>Operational execution</x:v>
      </x:c>
      <x:c r="C13" s="17" t="str">
        <x:v>AutomationBench</x:v>
      </x:c>
      <x:c r="D13" s="17" t="str">
        <x:v>Public 600-task pass rate, max reasoning</x:v>
      </x:c>
      <x:c r="E13" s="17" t="str">
        <x:v>Already a 0–100% pass rate; compare within the public task version</x:v>
      </x:c>
      <x:c r="F13" s="17" t="str">
        <x:v>Graded</x:v>
      </x:c>
      <x:c r="G13" s="17" t="str">
        <x:v>2026-Q2</x:v>
      </x:c>
      <x:c r="H13" s="17" t="str">
        <x:v>https://github.com/zapier/AutomationBench</x:v>
      </x:c>
      <x:c r="I13" s="17" t="str">
        <x:v>Private leaderboard differs; this report uses the public 600-task table.</x:v>
      </x:c>
    </x:row>
    <x:row r="14" ht="15" hidden="0" customHeight="1">
      <x:c r="A14" s="17" t="str">
        <x:v>OPS-02</x:v>
      </x:c>
      <x:c r="B14" s="17" t="str">
        <x:v>Operational execution</x:v>
      </x:c>
      <x:c r="C14" s="17" t="str">
        <x:v>EnterpriseOps-Gym</x:v>
      </x:c>
      <x:c r="D14" s="17" t="str">
        <x:v>Strict task success across enterprise workflows</x:v>
      </x:c>
      <x:c r="E14" s="17" t="str">
        <x:v>Already a 0–100% success rate; all verifier conditions must pass</x:v>
      </x:c>
      <x:c r="F14" s="17" t="str">
        <x:v>Graded</x:v>
      </x:c>
      <x:c r="G14" s="17" t="str">
        <x:v>2025-Q2</x:v>
      </x:c>
      <x:c r="H14" s="17" t="str">
        <x:v>https://github.com/ServiceNow/EnterpriseOps-Gym</x:v>
      </x:c>
      <x:c r="I14" s="17" t="str">
        <x:v>Stateful planning, policy, side effects, and safe refusal.</x:v>
      </x:c>
    </x:row>
    <x:row r="15" ht="15" hidden="0" customHeight="1">
      <x:c r="A15" s="17" t="str">
        <x:v>OPS-03</x:v>
      </x:c>
      <x:c r="B15" s="17" t="str">
        <x:v>Operational execution</x:v>
      </x:c>
      <x:c r="C15" s="17" t="str">
        <x:v>Commerce Agent Bench</x:v>
      </x:c>
      <x:c r="D15" s="17" t="str">
        <x:v>Pi-harness full-suite pass rate</x:v>
      </x:c>
      <x:c r="E15" s="17" t="str">
        <x:v>Already a 0–100% pass rate; pin 107 tasks and Pi harness</x:v>
      </x:c>
      <x:c r="F15" s="17" t="str">
        <x:v>Graded</x:v>
      </x:c>
      <x:c r="G15" s="17" t="str">
        <x:v>2025-Q4</x:v>
      </x:c>
      <x:c r="H15" s="17" t="str">
        <x:v>https://github.com/Accio-org/CommerceAgentBench</x:v>
      </x:c>
      <x:c r="I15" s="17" t="str">
        <x:v>Harness is held fixed so model release changes are more comparable.</x:v>
      </x:c>
    </x:row>
    <x:row r="16" ht="15" hidden="0" customHeight="1">
      <x:c r="A16" s="17" t="str">
        <x:v>OPS-04</x:v>
      </x:c>
      <x:c r="B16" s="17" t="str">
        <x:v>Operational execution</x:v>
      </x:c>
      <x:c r="C16" s="17" t="str">
        <x:v>ClawMark</x:v>
      </x:c>
      <x:c r="D16" s="17" t="str">
        <x:v>Avg@3 weighted deterministic-checker score</x:v>
      </x:c>
      <x:c r="E16" s="17" t="str">
        <x:v>Already a 0–100% score; pin 100-task repo snapshot</x:v>
      </x:c>
      <x:c r="F16" s="17" t="str">
        <x:v>Graded</x:v>
      </x:c>
      <x:c r="G16" s="17" t="str">
        <x:v>2026-Q1</x:v>
      </x:c>
      <x:c r="H16" s="17" t="str">
        <x:v>https://github.com/evolvent-ai/ClawMark</x:v>
      </x:c>
      <x:c r="I16" s="17" t="str">
        <x:v>Multi-day, multimodal coworker tasks across 13 domains.</x:v>
      </x:c>
    </x:row>
    <x:row r="17" ht="21.600000381469727" hidden="0" customHeight="1">
      <x:c r="A17" s="17" t="str">
        <x:v>OPS-05</x:v>
      </x:c>
      <x:c r="B17" s="17" t="str">
        <x:v>Operational execution</x:v>
      </x:c>
      <x:c r="C17" s="17" t="str">
        <x:v>TheAgentCompany</x:v>
      </x:c>
      <x:c r="D17" s="17" t="str">
        <x:v>Fraction of workplace tasks completed</x:v>
      </x:c>
      <x:c r="E17" s="17" t="str">
        <x:v>Already a 0–100% completion rate; community harness rows flagged</x:v>
      </x:c>
      <x:c r="F17" s="17" t="str">
        <x:v>Graded</x:v>
      </x:c>
      <x:c r="G17" s="17" t="str">
        <x:v>2024-Q4</x:v>
      </x:c>
      <x:c r="H17" s="17" t="str">
        <x:v>https://arxiv.org/abs/2412.14161</x:v>
      </x:c>
      <x:c r="I17" s="17" t="str">
        <x:v>Later points may include harness changes and should not be read as model-only uplift.</x:v>
      </x:c>
    </x:row>
    <x:row r="18" ht="15" hidden="0" customHeight="1">
      <x:c r="A18" s="17" t="str">
        <x:v>OPS-06</x:v>
      </x:c>
      <x:c r="B18" s="17" t="str">
        <x:v>Operational execution</x:v>
      </x:c>
      <x:c r="C18" s="17" t="str">
        <x:v>WorkArena++</x:v>
      </x:c>
      <x:c r="D18" s="17" t="str">
        <x:v>Browser workplace task success</x:v>
      </x:c>
      <x:c r="E18" s="17" t="str">
        <x:v>Ungraded until a consistent current frontier series is entered</x:v>
      </x:c>
      <x:c r="F18" s="17" t="str">
        <x:v>Ungraded</x:v>
      </x:c>
      <x:c r="G18" s="17" t="str">
        <x:v>2024-Q3</x:v>
      </x:c>
      <x:c r="H18" s="17" t="str">
        <x:v>https://arxiv.org/abs/2407.05291</x:v>
      </x:c>
      <x:c r="I18" s="17" t="str">
        <x:v>Cataloged as an important browser/computer-use signal.</x:v>
      </x:c>
    </x:row>
    <x:row r="19" ht="15" hidden="0" customHeight="1">
      <x:c r="A19" s="17" t="str">
        <x:v>OPS-07</x:v>
      </x:c>
      <x:c r="B19" s="17" t="str">
        <x:v>Operational execution</x:v>
      </x:c>
      <x:c r="C19" s="17" t="str">
        <x:v>Finch / FinWorkBench</x:v>
      </x:c>
      <x:c r="D19" s="17" t="str">
        <x:v>Strict finance-work task pass rate</x:v>
      </x:c>
      <x:c r="E19" s="17" t="str">
        <x:v>Already a 0–100% pass rate</x:v>
      </x:c>
      <x:c r="F19" s="17" t="str">
        <x:v>Graded</x:v>
      </x:c>
      <x:c r="G19" s="17" t="str">
        <x:v>2026-Q2</x:v>
      </x:c>
      <x:c r="H19" s="17" t="str">
        <x:v>https://aclanthology.org/2026.findings-acl.523/</x:v>
      </x:c>
      <x:c r="I19" s="17" t="str">
        <x:v>Professional finance work with artifact and workflow requirements.</x:v>
      </x:c>
    </x:row>
    <x:row r="20" ht="15" hidden="0" customHeight="1">
      <x:c r="A20" s="17" t="str">
        <x:v>OPS-08</x:v>
      </x:c>
      <x:c r="B20" s="17" t="str">
        <x:v>Operational execution</x:v>
      </x:c>
      <x:c r="C20" s="17" t="str">
        <x:v>tau3 Banking</x:v>
      </x:c>
      <x:c r="D20" s="17" t="str">
        <x:v>Pass^k / strict banking-agent success</x:v>
      </x:c>
      <x:c r="E20" s="17" t="str">
        <x:v>Already a 0–100% success rate; use one fixed leaderboard definition</x:v>
      </x:c>
      <x:c r="F20" s="17" t="str">
        <x:v>Graded</x:v>
      </x:c>
      <x:c r="G20" s="17" t="str">
        <x:v>2025-Q3</x:v>
      </x:c>
      <x:c r="H20" s="17" t="str">
        <x:v>https://taubench.com/leaderboard/</x:v>
      </x:c>
      <x:c r="I20" s="17" t="str">
        <x:v>Customer-service policy and tool execution under realistic state.</x:v>
      </x:c>
    </x:row>
    <x:row r="21" ht="21.600000381469727" hidden="0" customHeight="1">
      <x:c r="A21" s="17" t="str">
        <x:v>PER-01</x:v>
      </x:c>
      <x:c r="B21" s="17" t="str">
        <x:v>Personal stewardship transfer</x:v>
      </x:c>
      <x:c r="C21" s="17" t="str">
        <x:v>MyPCBench</x:v>
      </x:c>
      <x:c r="D21" s="17" t="str">
        <x:v>Perfect task success rate</x:v>
      </x:c>
      <x:c r="E21" s="17" t="str">
        <x:v>Already a 0–100% strict rate</x:v>
      </x:c>
      <x:c r="F21" s="17" t="str">
        <x:v>Graded</x:v>
      </x:c>
      <x:c r="G21" s="17" t="str">
        <x:v>2026-Q1</x:v>
      </x:c>
      <x:c r="H21" s="17" t="str">
        <x:v>https://mypcbench.com/</x:v>
      </x:c>
      <x:c r="I21" s="17" t="str">
        <x:v>Direct desktop computer use; current leaderboard may omit newer model generations.</x:v>
      </x:c>
    </x:row>
    <x:row r="22" ht="15" hidden="0" customHeight="1">
      <x:c r="A22" s="17" t="str">
        <x:v>PER-02</x:v>
      </x:c>
      <x:c r="B22" s="17" t="str">
        <x:v>Personal stewardship transfer</x:v>
      </x:c>
      <x:c r="C22" s="17" t="str">
        <x:v>pi-Bench</x:v>
      </x:c>
      <x:c r="D22" s="17" t="str">
        <x:v>Completeness checklist score</x:v>
      </x:c>
      <x:c r="E22" s="17" t="str">
        <x:v>Already a 0–100% score</x:v>
      </x:c>
      <x:c r="F22" s="17" t="str">
        <x:v>Graded</x:v>
      </x:c>
      <x:c r="G22" s="17" t="str">
        <x:v>2026-Q2</x:v>
      </x:c>
      <x:c r="H22" s="17" t="str">
        <x:v>https://arxiv.org/html/2605.14678v3</x:v>
      </x:c>
      <x:c r="I22" s="17" t="str">
        <x:v>Personal-computing workflows scored for completion.</x:v>
      </x:c>
    </x:row>
    <x:row r="23" ht="15" hidden="0" customHeight="1">
      <x:c r="A23" s="17" t="str">
        <x:v>PER-03</x:v>
      </x:c>
      <x:c r="B23" s="17" t="str">
        <x:v>Personal stewardship transfer</x:v>
      </x:c>
      <x:c r="C23" s="17" t="str">
        <x:v>ClawBench</x:v>
      </x:c>
      <x:c r="D23" s="17" t="str">
        <x:v>Standardized personal-agent task score</x:v>
      </x:c>
      <x:c r="E23" s="17" t="str">
        <x:v>Already a 0–100% score; pin benchmark repo/version</x:v>
      </x:c>
      <x:c r="F23" s="17" t="str">
        <x:v>Graded</x:v>
      </x:c>
      <x:c r="G23" s="17" t="str">
        <x:v>2026-Q2</x:v>
      </x:c>
      <x:c r="H23" s="17" t="str">
        <x:v>https://github.com/TIGER-AI-Lab/ClawBench</x:v>
      </x:c>
      <x:c r="I23" s="17" t="str">
        <x:v>Personal-agent and computer-use signal; one public frontier point.</x:v>
      </x:c>
    </x:row>
    <x:row r="24" ht="21.600000381469727" hidden="0" customHeight="1">
      <x:c r="A24" s="17" t="str">
        <x:v>PER-04</x:v>
      </x:c>
      <x:c r="B24" s="17" t="str">
        <x:v>Personal stewardship transfer</x:v>
      </x:c>
      <x:c r="C24" s="17" t="str">
        <x:v>AssistantBench</x:v>
      </x:c>
      <x:c r="D24" s="17" t="str">
        <x:v>Assistant task accuracy</x:v>
      </x:c>
      <x:c r="E24" s="17" t="str">
        <x:v>Already a 0–100% score; later HAL result marked as updated configuration</x:v>
      </x:c>
      <x:c r="F24" s="17" t="str">
        <x:v>Graded</x:v>
      </x:c>
      <x:c r="G24" s="17" t="str">
        <x:v>2024-Q3</x:v>
      </x:c>
      <x:c r="H24" s="17" t="str">
        <x:v>https://assistantbench.github.io/</x:v>
      </x:c>
      <x:c r="I24" s="17" t="str">
        <x:v>Realistic web research and personal-assistant tasks.</x:v>
      </x:c>
    </x:row>
    <x:row r="25" ht="21.600000381469727" hidden="0" customHeight="1">
      <x:c r="A25" s="17" t="str">
        <x:v>VAL-01</x:v>
      </x:c>
      <x:c r="B25" s="17" t="str">
        <x:v>Economic value &amp; governance</x:v>
      </x:c>
      <x:c r="C25" s="17" t="str">
        <x:v>GDPval</x:v>
      </x:c>
      <x:c r="D25" s="17" t="str">
        <x:v>Expert preference / economic task quality</x:v>
      </x:c>
      <x:c r="E25" s="17" t="str">
        <x:v>Ungraded here: public headline is approximate and newer variants report Elo</x:v>
      </x:c>
      <x:c r="F25" s="17" t="str">
        <x:v>Ungraded</x:v>
      </x:c>
      <x:c r="G25" s="17" t="str">
        <x:v>2025-Q3</x:v>
      </x:c>
      <x:c r="H25" s="17" t="str">
        <x:v>https://openai.com/index/gdpval/</x:v>
      </x:c>
      <x:c r="I25" s="17" t="str">
        <x:v>Keep the benchmark, but do not turn ‘just under half’ or Elo into a fake percentage.</x:v>
      </x:c>
    </x:row>
    <x:row r="26" ht="21.600000381469727" hidden="0" customHeight="1">
      <x:c r="A26" s="17" t="str">
        <x:v>VAL-02</x:v>
      </x:c>
      <x:c r="B26" s="17" t="str">
        <x:v>Economic value &amp; governance</x:v>
      </x:c>
      <x:c r="C26" s="17" t="str">
        <x:v>Remote Labor Index</x:v>
      </x:c>
      <x:c r="D26" s="17" t="str">
        <x:v>Strict end-to-end job automation rate</x:v>
      </x:c>
      <x:c r="E26" s="17" t="str">
        <x:v>Already a 0–100% rate</x:v>
      </x:c>
      <x:c r="F26" s="17" t="str">
        <x:v>Graded</x:v>
      </x:c>
      <x:c r="G26" s="17" t="str">
        <x:v>2025-Q3</x:v>
      </x:c>
      <x:c r="H26" s="17" t="str">
        <x:v>https://www.remotelabor.ai/</x:v>
      </x:c>
      <x:c r="I26" s="17" t="str">
        <x:v>Professional-worker benchmark used as a transfer signal, not a consumer denominator.</x:v>
      </x:c>
    </x:row>
    <x:row r="27" ht="21.600000381469727" hidden="0" customHeight="1">
      <x:c r="A27" s="17" t="str">
        <x:v>VAL-03</x:v>
      </x:c>
      <x:c r="B27" s="17" t="str">
        <x:v>Economic value &amp; governance</x:v>
      </x:c>
      <x:c r="C27" s="17" t="str">
        <x:v>OmegaUse-OfficeVal</x:v>
      </x:c>
      <x:c r="D27" s="17" t="str">
        <x:v>Economic value of office-computer work</x:v>
      </x:c>
      <x:c r="E27" s="17" t="str">
        <x:v>Ungraded until a stable percentage-completion frontier series is entered</x:v>
      </x:c>
      <x:c r="F27" s="17" t="str">
        <x:v>Ungraded</x:v>
      </x:c>
      <x:c r="G27" s="17" t="str">
        <x:v>2026-Q2</x:v>
      </x:c>
      <x:c r="H27" s="17" t="str">
        <x:v>https://omegause-officeval.github.io/</x:v>
      </x:c>
      <x:c r="I27" s="17" t="str">
        <x:v>Economic value and computer-use signal.</x:v>
      </x:c>
    </x:row>
    <x:row r="28" ht="15" hidden="0" customHeight="1">
      <x:c r="A28" s="17" t="str">
        <x:v>VAL-04</x:v>
      </x:c>
      <x:c r="B28" s="17" t="str">
        <x:v>Economic value &amp; governance</x:v>
      </x:c>
      <x:c r="C28" s="17" t="str">
        <x:v>Claw-Eval</x:v>
      </x:c>
      <x:c r="D28" s="17" t="str">
        <x:v>Pass^3 on governed agent tasks</x:v>
      </x:c>
      <x:c r="E28" s="17" t="str">
        <x:v>Already a 0–100% strict reliability score</x:v>
      </x:c>
      <x:c r="F28" s="17" t="str">
        <x:v>Graded</x:v>
      </x:c>
      <x:c r="G28" s="17" t="str">
        <x:v>2026-Q1</x:v>
      </x:c>
      <x:c r="H28" s="17" t="str">
        <x:v>https://github.com/claw-eval/claw-eval</x:v>
      </x:c>
      <x:c r="I28" s="17" t="str">
        <x:v>Governance/reliability emphasis; one current frontier point.</x:v>
      </x:c>
    </x:row>
  </x:sheetData>
  <x:mergeCells>
    <x:mergeCell ref="A1:I2"/>
    <x:mergeCell ref="A3:I3"/>
  </x:mergeCells>
  <x:dataValidations count="1">
    <x:dataValidation type="list" sqref="F6:F28">
      <x:formula1>"Graded,Ungraded"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0849182d9e4a2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3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4" hidden="0" customWidth="1"/>
    <x:col min="15" max="15" width="14" hidden="0" customWidth="1"/>
    <x:col min="16" max="16" width="14" hidden="0" customWidth="1"/>
    <x:col min="17" max="17" width="38" hidden="0" customWidth="1"/>
    <x:col min="18" max="18" width="13" hidden="0" customWidth="1"/>
    <x:col min="19" max="19" width="9" hidden="0" customWidth="1"/>
    <x:col min="20" max="20" width="9" hidden="0" customWidth="1"/>
    <x:col min="21" max="21" width="14" hidden="0" customWidth="1"/>
  </x:cols>
  <x:sheetData>
    <x:row r="1" ht="28" customHeight="1">
      <x:c r="A1" s="3" t="str">
        <x:v>Projection Model — Failure-Gap Velocity and Acceleration</x:v>
      </x:c>
      <x:c r="B1" s="3" t="str">
        <x:v>Projection Model — Failure-Gap Velocity and Acceleration</x:v>
      </x:c>
      <x:c r="C1" s="3" t="str">
        <x:v>Projection Model — Failure-Gap Velocity and Acceleration</x:v>
      </x:c>
      <x:c r="D1" s="3" t="str">
        <x:v>Projection Model — Failure-Gap Velocity and Acceleration</x:v>
      </x:c>
      <x:c r="E1" s="3" t="str">
        <x:v>Projection Model — Failure-Gap Velocity and Acceleration</x:v>
      </x:c>
      <x:c r="F1" s="3" t="str">
        <x:v>Projection Model — Failure-Gap Velocity and Acceleration</x:v>
      </x:c>
      <x:c r="G1" s="3" t="str">
        <x:v>Projection Model — Failure-Gap Velocity and Acceleration</x:v>
      </x:c>
      <x:c r="H1" s="3" t="str">
        <x:v>Projection Model — Failure-Gap Velocity and Acceleration</x:v>
      </x:c>
      <x:c r="I1" s="3" t="str">
        <x:v>Projection Model — Failure-Gap Velocity and Acceleration</x:v>
      </x:c>
      <x:c r="J1" s="3" t="str">
        <x:v>Projection Model — Failure-Gap Velocity and Acceleration</x:v>
      </x:c>
      <x:c r="K1" s="3" t="str">
        <x:v>Projection Model — Failure-Gap Velocity and Acceleration</x:v>
      </x:c>
      <x:c r="L1" s="3" t="str">
        <x:v>Projection Model — Failure-Gap Velocity and Acceleration</x:v>
      </x:c>
      <x:c r="M1" s="3" t="str">
        <x:v>Projection Model — Failure-Gap Velocity and Acceleration</x:v>
      </x:c>
      <x:c r="N1" s="3" t="str">
        <x:v>Projection Model — Failure-Gap Velocity and Acceleration</x:v>
      </x:c>
      <x:c r="O1" s="3" t="str">
        <x:v>Projection Model — Failure-Gap Velocity and Acceleration</x:v>
      </x:c>
      <x:c r="P1" s="3" t="str">
        <x:v>Projection Model — Failure-Gap Velocity and Acceleration</x:v>
      </x:c>
      <x:c r="Q1" s="3" t="str">
        <x:v>Projection Model — Failure-Gap Velocity and Acceleration</x:v>
      </x:c>
      <x:c r="R1" s="3" t="str">
        <x:v>Projection Model — Failure-Gap Velocity and Acceleration</x:v>
      </x:c>
      <x:c r="S1" s="3" t="str">
        <x:v>Projection Model — Failure-Gap Velocity and Acceleration</x:v>
      </x:c>
      <x:c r="T1" s="3" t="str">
        <x:v>Projection Model — Failure-Gap Velocity and Acceleration</x:v>
      </x:c>
      <x:c r="U1" s="3" t="str">
        <x:v>Projection Model — Failure-Gap Velocity and Acceleration</x:v>
      </x:c>
    </x:row>
    <x:row r="2" ht="28" customHeight="1">
      <x:c r="A2" s="3" t="str">
        <x:v>Projection Model — Failure-Gap Velocity and Acceleration</x:v>
      </x:c>
      <x:c r="B2" s="3" t="str">
        <x:v>Projection Model — Failure-Gap Velocity and Acceleration</x:v>
      </x:c>
      <x:c r="C2" s="3" t="str">
        <x:v>Projection Model — Failure-Gap Velocity and Acceleration</x:v>
      </x:c>
      <x:c r="D2" s="3" t="str">
        <x:v>Projection Model — Failure-Gap Velocity and Acceleration</x:v>
      </x:c>
      <x:c r="E2" s="3" t="str">
        <x:v>Projection Model — Failure-Gap Velocity and Acceleration</x:v>
      </x:c>
      <x:c r="F2" s="3" t="str">
        <x:v>Projection Model — Failure-Gap Velocity and Acceleration</x:v>
      </x:c>
      <x:c r="G2" s="3" t="str">
        <x:v>Projection Model — Failure-Gap Velocity and Acceleration</x:v>
      </x:c>
      <x:c r="H2" s="3" t="str">
        <x:v>Projection Model — Failure-Gap Velocity and Acceleration</x:v>
      </x:c>
      <x:c r="I2" s="3" t="str">
        <x:v>Projection Model — Failure-Gap Velocity and Acceleration</x:v>
      </x:c>
      <x:c r="J2" s="3" t="str">
        <x:v>Projection Model — Failure-Gap Velocity and Acceleration</x:v>
      </x:c>
      <x:c r="K2" s="3" t="str">
        <x:v>Projection Model — Failure-Gap Velocity and Acceleration</x:v>
      </x:c>
      <x:c r="L2" s="3" t="str">
        <x:v>Projection Model — Failure-Gap Velocity and Acceleration</x:v>
      </x:c>
      <x:c r="M2" s="3" t="str">
        <x:v>Projection Model — Failure-Gap Velocity and Acceleration</x:v>
      </x:c>
      <x:c r="N2" s="3" t="str">
        <x:v>Projection Model — Failure-Gap Velocity and Acceleration</x:v>
      </x:c>
      <x:c r="O2" s="3" t="str">
        <x:v>Projection Model — Failure-Gap Velocity and Acceleration</x:v>
      </x:c>
      <x:c r="P2" s="3" t="str">
        <x:v>Projection Model — Failure-Gap Velocity and Acceleration</x:v>
      </x:c>
      <x:c r="Q2" s="3" t="str">
        <x:v>Projection Model — Failure-Gap Velocity and Acceleration</x:v>
      </x:c>
      <x:c r="R2" s="3" t="str">
        <x:v>Projection Model — Failure-Gap Velocity and Acceleration</x:v>
      </x:c>
      <x:c r="S2" s="3" t="str">
        <x:v>Projection Model — Failure-Gap Velocity and Acceleration</x:v>
      </x:c>
      <x:c r="T2" s="3" t="str">
        <x:v>Projection Model — Failure-Gap Velocity and Acceleration</x:v>
      </x:c>
      <x:c r="U2" s="3" t="str">
        <x:v>Projection Model — Failure-Gap Velocity and Acceleration</x:v>
      </x:c>
    </x:row>
    <x:row r="3" ht="15" hidden="0" customHeight="1">
      <x:c r="A3" s="6" t="str">
        <x:v>Helper sheet. Latest three comparable quarter frontiers determine velocity and acceleration; sparse histories fall back to constant velocity, flat, or blank. Evidence credits feed category confidence.</x:v>
      </x:c>
      <x:c r="B3" s="6" t="str">
        <x:v>Helper sheet. Latest three comparable quarter frontiers determine velocity and acceleration; sparse histories fall back to constant velocity, flat, or blank. Evidence credits feed category confidence.</x:v>
      </x:c>
      <x:c r="C3" s="6" t="str">
        <x:v>Helper sheet. Latest three comparable quarter frontiers determine velocity and acceleration; sparse histories fall back to constant velocity, flat, or blank. Evidence credits feed category confidence.</x:v>
      </x:c>
      <x:c r="D3" s="6" t="str">
        <x:v>Helper sheet. Latest three comparable quarter frontiers determine velocity and acceleration; sparse histories fall back to constant velocity, flat, or blank. Evidence credits feed category confidence.</x:v>
      </x:c>
      <x:c r="E3" s="6" t="str">
        <x:v>Helper sheet. Latest three comparable quarter frontiers determine velocity and acceleration; sparse histories fall back to constant velocity, flat, or blank. Evidence credits feed category confidence.</x:v>
      </x:c>
      <x:c r="F3" s="6" t="str">
        <x:v>Helper sheet. Latest three comparable quarter frontiers determine velocity and acceleration; sparse histories fall back to constant velocity, flat, or blank. Evidence credits feed category confidence.</x:v>
      </x:c>
      <x:c r="G3" s="6" t="str">
        <x:v>Helper sheet. Latest three comparable quarter frontiers determine velocity and acceleration; sparse histories fall back to constant velocity, flat, or blank. Evidence credits feed category confidence.</x:v>
      </x:c>
      <x:c r="H3" s="6" t="str">
        <x:v>Helper sheet. Latest three comparable quarter frontiers determine velocity and acceleration; sparse histories fall back to constant velocity, flat, or blank. Evidence credits feed category confidence.</x:v>
      </x:c>
      <x:c r="I3" s="6" t="str">
        <x:v>Helper sheet. Latest three comparable quarter frontiers determine velocity and acceleration; sparse histories fall back to constant velocity, flat, or blank. Evidence credits feed category confidence.</x:v>
      </x:c>
      <x:c r="J3" s="6" t="str">
        <x:v>Helper sheet. Latest three comparable quarter frontiers determine velocity and acceleration; sparse histories fall back to constant velocity, flat, or blank. Evidence credits feed category confidence.</x:v>
      </x:c>
      <x:c r="K3" s="6" t="str">
        <x:v>Helper sheet. Latest three comparable quarter frontiers determine velocity and acceleration; sparse histories fall back to constant velocity, flat, or blank. Evidence credits feed category confidence.</x:v>
      </x:c>
      <x:c r="L3" s="6" t="str">
        <x:v>Helper sheet. Latest three comparable quarter frontiers determine velocity and acceleration; sparse histories fall back to constant velocity, flat, or blank. Evidence credits feed category confidence.</x:v>
      </x:c>
      <x:c r="M3" s="6" t="str">
        <x:v>Helper sheet. Latest three comparable quarter frontiers determine velocity and acceleration; sparse histories fall back to constant velocity, flat, or blank. Evidence credits feed category confidence.</x:v>
      </x:c>
      <x:c r="N3" s="6" t="str">
        <x:v>Helper sheet. Latest three comparable quarter frontiers determine velocity and acceleration; sparse histories fall back to constant velocity, flat, or blank. Evidence credits feed category confidence.</x:v>
      </x:c>
      <x:c r="O3" s="6" t="str">
        <x:v>Helper sheet. Latest three comparable quarter frontiers determine velocity and acceleration; sparse histories fall back to constant velocity, flat, or blank. Evidence credits feed category confidence.</x:v>
      </x:c>
      <x:c r="P3" s="6" t="str">
        <x:v>Helper sheet. Latest three comparable quarter frontiers determine velocity and acceleration; sparse histories fall back to constant velocity, flat, or blank. Evidence credits feed category confidence.</x:v>
      </x:c>
      <x:c r="Q3" s="6" t="str">
        <x:v>Helper sheet. Latest three comparable quarter frontiers determine velocity and acceleration; sparse histories fall back to constant velocity, flat, or blank. Evidence credits feed category confidence.</x:v>
      </x:c>
      <x:c r="R3" s="6" t="str">
        <x:v>Helper sheet. Latest three comparable quarter frontiers determine velocity and acceleration; sparse histories fall back to constant velocity, flat, or blank. Evidence credits feed category confidence.</x:v>
      </x:c>
      <x:c r="S3" s="6" t="str">
        <x:v>Helper sheet. Latest three comparable quarter frontiers determine velocity and acceleration; sparse histories fall back to constant velocity, flat, or blank. Evidence credits feed category confidence.</x:v>
      </x:c>
      <x:c r="T3" s="6" t="str">
        <x:v>Helper sheet. Latest three comparable quarter frontiers determine velocity and acceleration; sparse histories fall back to constant velocity, flat, or blank. Evidence credits feed category confidence.</x:v>
      </x:c>
      <x:c r="U3" s="6" t="str">
        <x:v>Helper sheet. Latest three comparable quarter frontiers determine velocity and acceleration; sparse histories fall back to constant velocity, flat, or blank. Evidence credits feed category confidence.</x:v>
      </x:c>
    </x:row>
    <x:row r="4"/>
    <x:row r="5" ht="42" hidden="0" customHeight="1">
      <x:c r="A5" s="13" t="str">
        <x:v>Benchmark ID</x:v>
      </x:c>
      <x:c r="B5" s="13" t="str">
        <x:v>Benchmark Name</x:v>
      </x:c>
      <x:c r="C5" s="13" t="str">
        <x:v>Category</x:v>
      </x:c>
      <x:c r="D5" s="13" t="str">
        <x:v>Obs count</x:v>
      </x:c>
      <x:c r="E5" s="13" t="str">
        <x:v>Prior-2 Q</x:v>
      </x:c>
      <x:c r="F5" s="13" t="str">
        <x:v>Prior Q</x:v>
      </x:c>
      <x:c r="G5" s="13" t="str">
        <x:v>Latest Q</x:v>
      </x:c>
      <x:c r="H5" s="13" t="str">
        <x:v>Prior-2 score</x:v>
      </x:c>
      <x:c r="I5" s="13" t="str">
        <x:v>Prior score</x:v>
      </x:c>
      <x:c r="J5" s="13" t="str">
        <x:v>Latest score</x:v>
      </x:c>
      <x:c r="K5" s="13" t="str">
        <x:v>Prior-2 depth</x:v>
      </x:c>
      <x:c r="L5" s="13" t="str">
        <x:v>Prior depth</x:v>
      </x:c>
      <x:c r="M5" s="13" t="str">
        <x:v>Latest depth</x:v>
      </x:c>
      <x:c r="N5" s="13" t="str">
        <x:v>Recent gap velocity</x:v>
      </x:c>
      <x:c r="O5" s="13" t="str">
        <x:v>Prior gap velocity</x:v>
      </x:c>
      <x:c r="P5" s="13" t="str">
        <x:v>Gap acceleration</x:v>
      </x:c>
      <x:c r="Q5" s="13" t="str">
        <x:v>Projection basis</x:v>
      </x:c>
      <x:c r="R5" s="13" t="str">
        <x:v>Current score</x:v>
      </x:c>
      <x:c r="S5" s="13" t="str">
        <x:v>Letter</x:v>
      </x:c>
      <x:c r="T5" s="13" t="str">
        <x:v>GPA</x:v>
      </x:c>
      <x:c r="U5" s="13" t="str">
        <x:v>Evidence credits</x:v>
      </x:c>
    </x:row>
    <x:row r="6" ht="15" hidden="0" customHeight="1">
      <x:c r="A6" s="17" t="str">
        <x:v>DES-01</x:v>
      </x:c>
      <x:c r="B6" s="17" t="str">
        <x:v>Vending-Bench 2</x:v>
      </x:c>
      <x:c r="C6" s="17" t="str">
        <x:v>Direct economic stewardship</x:v>
      </x:c>
      <x:c r="D6" s="17" t="n">
        <x:f>COUNTIF('Observations'!$A$6:$A$500,A6)</x:f>
        <x:v>3</x:v>
      </x:c>
      <x:c r="E6" s="17" t="n">
        <x:f>IF(D6&lt;3,"",MAXIFS('Observations'!$F$6:$F$500,'Observations'!$A$6:$A$500,A6,'Observations'!$F$6:$F$500,"&lt;"&amp;F6))</x:f>
        <x:v>9</x:v>
      </x:c>
      <x:c r="F6" s="17" t="n">
        <x:f>IF(D6&lt;2,"",MAXIFS('Observations'!$F$6:$F$500,'Observations'!$A$6:$A$500,A6,'Observations'!$F$6:$F$500,"&lt;"&amp;G6))</x:f>
        <x:v>10</x:v>
      </x:c>
      <x:c r="G6" s="17" t="n">
        <x:f>IF(D6=0,"",MAXIFS('Observations'!$F$6:$F$500,'Observations'!$A$6:$A$500,A6))</x:f>
        <x:v>11</x:v>
      </x:c>
      <x:c r="H6" s="24" t="n">
        <x:f>IF(E6="","",SUMIFS('Observations'!$G$6:$G$500,'Observations'!$A$6:$A$500,A6,'Observations'!$F$6:$F$500,E6))</x:f>
        <x:v>0.12726333333333334</x:v>
      </x:c>
      <x:c r="I6" s="24" t="n">
        <x:f>IF(F6="","",SUMIFS('Observations'!$G$6:$G$500,'Observations'!$A$6:$A$500,A6,'Observations'!$F$6:$F$500,F6))</x:f>
        <x:v>0.17359936507936508</x:v>
      </x:c>
      <x:c r="J6" s="24" t="n">
        <x:f>IF(G6="","",SUMIFS('Observations'!$G$6:$G$500,'Observations'!$A$6:$A$500,A6,'Observations'!$F$6:$F$500,G6))</x:f>
        <x:v>0.17749</x:v>
      </x:c>
      <x:c r="K6" s="25" t="n">
        <x:f>IF(H6="","",IF(H6&gt;=1,30,-LN(1-H6)/LN(2)))</x:f>
        <x:v>0.19638168387795835</x:v>
      </x:c>
      <x:c r="L6" s="25" t="n">
        <x:f>IF(I6="","",IF(I6&gt;=1,30,-LN(1-I6)/LN(2)))</x:f>
        <x:v>0.27508673226655406</x:v>
      </x:c>
      <x:c r="M6" s="25" t="n">
        <x:f>IF(J6="","",IF(J6&gt;=1,30,-LN(1-J6)/LN(2)))</x:f>
        <x:v>0.28189487578087197</x:v>
      </x:c>
      <x:c r="N6" s="25" t="n">
        <x:f>IF(D6&lt;2,0,(M6-L6)/(G6-F6))</x:f>
        <x:v>0.00680814351431791</x:v>
      </x:c>
      <x:c r="O6" s="25" t="n">
        <x:f>IF(D6&lt;3,0,(L6-K6)/(F6-E6))</x:f>
        <x:v>0.07870504838859571</x:v>
      </x:c>
      <x:c r="P6" s="25" t="n">
        <x:f>IF(D6&lt;3,0,(N6-O6)/(((G6-F6)+(F6-E6))/2))</x:f>
        <x:v>-0.0718969048742778</x:v>
      </x:c>
      <x:c r="Q6" s="17" t="str">
        <x:f>IF(D6=0,"Ungraded — no normalized observation",IF(D6=1,"Flat — one observation",IF(D6=2,"Constant velocity — two observations","Velocity + acceleration — latest three observations")))</x:f>
        <x:v>Velocity + acceleration — latest three observations</x:v>
      </x:c>
      <x:c r="R6" s="24" t="n">
        <x:f>IF(D6=0,"",J6)</x:f>
        <x:v>0.17749</x:v>
      </x:c>
      <x:c r="S6" s="17" t="str">
        <x:f>IF(R6="","N/A",IF(R6&gt;='Methodology'!$G$7,"A",IF(R6&gt;='Methodology'!$G$8,"B",IF(R6&gt;='Methodology'!$G$9,"C",IF(R6&gt;='Methodology'!$G$10,"D","F")))))</x:f>
        <x:v>F</x:v>
      </x:c>
      <x:c r="T6" s="26" t="n">
        <x:f>IF(R6="","",IF(R6&gt;='Methodology'!$G$7,'Methodology'!$H$7,IF(R6&gt;='Methodology'!$G$8,'Methodology'!$H$8,IF(R6&gt;='Methodology'!$G$9,'Methodology'!$H$9,IF(R6&gt;='Methodology'!$G$10,'Methodology'!$H$10,'Methodology'!$H$11)))))</x:f>
        <x:v>0</x:v>
      </x:c>
      <x:c r="U6" s="27" t="n">
        <x:f>MIN(D6,3)</x:f>
        <x:v>3</x:v>
      </x:c>
    </x:row>
    <x:row r="7" ht="15" hidden="0" customHeight="1">
      <x:c r="A7" s="17" t="str">
        <x:v>DES-02</x:v>
      </x:c>
      <x:c r="B7" s="17" t="str">
        <x:v>CEO-Bench</x:v>
      </x:c>
      <x:c r="C7" s="17" t="str">
        <x:v>Direct economic stewardship</x:v>
      </x:c>
      <x:c r="D7" s="17" t="n">
        <x:f>COUNTIF('Observations'!$A$6:$A$500,A7)</x:f>
        <x:v>2</x:v>
      </x:c>
      <x:c r="E7" s="17" t="str">
        <x:f>IF(D7&lt;3,"",MAXIFS('Observations'!$F$6:$F$500,'Observations'!$A$6:$A$500,A7,'Observations'!$F$6:$F$500,"&lt;"&amp;F7))</x:f>
      </x:c>
      <x:c r="F7" s="17" t="n">
        <x:f>IF(D7&lt;2,"",MAXIFS('Observations'!$F$6:$F$500,'Observations'!$A$6:$A$500,A7,'Observations'!$F$6:$F$500,"&lt;"&amp;G7))</x:f>
        <x:v>10</x:v>
      </x:c>
      <x:c r="G7" s="17" t="n">
        <x:f>IF(D7=0,"",MAXIFS('Observations'!$F$6:$F$500,'Observations'!$A$6:$A$500,A7))</x:f>
        <x:v>11</x:v>
      </x:c>
      <x:c r="H7" s="24" t="str">
        <x:f>IF(E7="","",SUMIFS('Observations'!$G$6:$G$500,'Observations'!$A$6:$A$500,A7,'Observations'!$F$6:$F$500,E7))</x:f>
      </x:c>
      <x:c r="I7" s="24" t="n">
        <x:f>IF(F7="","",SUMIFS('Observations'!$G$6:$G$500,'Observations'!$A$6:$A$500,A7,'Observations'!$F$6:$F$500,F7))</x:f>
        <x:v>0.005740944545454546</x:v>
      </x:c>
      <x:c r="J7" s="24" t="n">
        <x:f>IF(G7="","",SUMIFS('Observations'!$G$6:$G$500,'Observations'!$A$6:$A$500,A7,'Observations'!$F$6:$F$500,G7))</x:f>
        <x:v>0.010067435</x:v>
      </x:c>
      <x:c r="K7" s="25" t="str">
        <x:f>IF(H7="","",IF(H7&gt;=1,30,-LN(1-H7)/LN(2)))</x:f>
      </x:c>
      <x:c r="L7" s="25" t="n">
        <x:f>IF(I7="","",IF(I7&gt;=1,30,-LN(1-I7)/LN(2)))</x:f>
        <x:v>0.008306298103420784</x:v>
      </x:c>
      <x:c r="M7" s="25" t="n">
        <x:f>IF(J7="","",IF(J7&gt;=1,30,-LN(1-J7)/LN(2)))</x:f>
        <x:v>0.01459784389075154</x:v>
      </x:c>
      <x:c r="N7" s="25" t="n">
        <x:f>IF(D7&lt;2,0,(M7-L7)/(G7-F7))</x:f>
        <x:v>0.006291545787330755</x:v>
      </x:c>
      <x:c r="O7" s="25" t="n">
        <x:f>IF(D7&lt;3,0,(L7-K7)/(F7-E7))</x:f>
        <x:v>0</x:v>
      </x:c>
      <x:c r="P7" s="25" t="n">
        <x:f>IF(D7&lt;3,0,(N7-O7)/(((G7-F7)+(F7-E7))/2))</x:f>
        <x:v>0</x:v>
      </x:c>
      <x:c r="Q7" s="17" t="str">
        <x:f>IF(D7=0,"Ungraded — no normalized observation",IF(D7=1,"Flat — one observation",IF(D7=2,"Constant velocity — two observations","Velocity + acceleration — latest three observations")))</x:f>
        <x:v>Constant velocity — two observations</x:v>
      </x:c>
      <x:c r="R7" s="24" t="n">
        <x:f>IF(D7=0,"",J7)</x:f>
        <x:v>0.010067435</x:v>
      </x:c>
      <x:c r="S7" s="17" t="str">
        <x:f>IF(R7="","N/A",IF(R7&gt;='Methodology'!$G$7,"A",IF(R7&gt;='Methodology'!$G$8,"B",IF(R7&gt;='Methodology'!$G$9,"C",IF(R7&gt;='Methodology'!$G$10,"D","F")))))</x:f>
        <x:v>F</x:v>
      </x:c>
      <x:c r="T7" s="26" t="n">
        <x:f>IF(R7="","",IF(R7&gt;='Methodology'!$G$7,'Methodology'!$H$7,IF(R7&gt;='Methodology'!$G$8,'Methodology'!$H$8,IF(R7&gt;='Methodology'!$G$9,'Methodology'!$H$9,IF(R7&gt;='Methodology'!$G$10,'Methodology'!$H$10,'Methodology'!$H$11)))))</x:f>
        <x:v>0</x:v>
      </x:c>
      <x:c r="U7" s="27" t="n">
        <x:f>MIN(D7,3)</x:f>
        <x:v>2</x:v>
      </x:c>
    </x:row>
    <x:row r="8" ht="15" hidden="0" customHeight="1">
      <x:c r="A8" s="17" t="str">
        <x:v>DES-03</x:v>
      </x:c>
      <x:c r="B8" s="17" t="str">
        <x:v>YC-Bench</x:v>
      </x:c>
      <x:c r="C8" s="17" t="str">
        <x:v>Direct economic stewardship</x:v>
      </x:c>
      <x:c r="D8" s="17" t="n">
        <x:f>COUNTIF('Observations'!$A$6:$A$500,A8)</x:f>
        <x:v>1</x:v>
      </x:c>
      <x:c r="E8" s="17" t="str">
        <x:f>IF(D8&lt;3,"",MAXIFS('Observations'!$F$6:$F$500,'Observations'!$A$6:$A$500,A8,'Observations'!$F$6:$F$500,"&lt;"&amp;F8))</x:f>
      </x:c>
      <x:c r="F8" s="17" t="str">
        <x:f>IF(D8&lt;2,"",MAXIFS('Observations'!$F$6:$F$500,'Observations'!$A$6:$A$500,A8,'Observations'!$F$6:$F$500,"&lt;"&amp;G8))</x:f>
      </x:c>
      <x:c r="G8" s="17" t="n">
        <x:f>IF(D8=0,"",MAXIFS('Observations'!$F$6:$F$500,'Observations'!$A$6:$A$500,A8))</x:f>
        <x:v>10</x:v>
      </x:c>
      <x:c r="H8" s="24" t="str">
        <x:f>IF(E8="","",SUMIFS('Observations'!$G$6:$G$500,'Observations'!$A$6:$A$500,A8,'Observations'!$F$6:$F$500,E8))</x:f>
      </x:c>
      <x:c r="I8" s="24" t="str">
        <x:f>IF(F8="","",SUMIFS('Observations'!$G$6:$G$500,'Observations'!$A$6:$A$500,A8,'Observations'!$F$6:$F$500,F8))</x:f>
      </x:c>
      <x:c r="J8" s="24" t="n">
        <x:f>IF(G8="","",SUMIFS('Observations'!$G$6:$G$500,'Observations'!$A$6:$A$500,A8,'Observations'!$F$6:$F$500,G8))</x:f>
        <x:v>1</x:v>
      </x:c>
      <x:c r="K8" s="25" t="str">
        <x:f>IF(H8="","",IF(H8&gt;=1,30,-LN(1-H8)/LN(2)))</x:f>
      </x:c>
      <x:c r="L8" s="25" t="str">
        <x:f>IF(I8="","",IF(I8&gt;=1,30,-LN(1-I8)/LN(2)))</x:f>
      </x:c>
      <x:c r="M8" s="25" t="n">
        <x:f>IF(J8="","",IF(J8&gt;=1,30,-LN(1-J8)/LN(2)))</x:f>
        <x:v>30</x:v>
      </x:c>
      <x:c r="N8" s="25" t="n">
        <x:f>IF(D8&lt;2,0,(M8-L8)/(G8-F8))</x:f>
        <x:v>0</x:v>
      </x:c>
      <x:c r="O8" s="25" t="n">
        <x:f>IF(D8&lt;3,0,(L8-K8)/(F8-E8))</x:f>
        <x:v>0</x:v>
      </x:c>
      <x:c r="P8" s="25" t="n">
        <x:f>IF(D8&lt;3,0,(N8-O8)/(((G8-F8)+(F8-E8))/2))</x:f>
        <x:v>0</x:v>
      </x:c>
      <x:c r="Q8" s="17" t="str">
        <x:f>IF(D8=0,"Ungraded — no normalized observation",IF(D8=1,"Flat — one observation",IF(D8=2,"Constant velocity — two observations","Velocity + acceleration — latest three observations")))</x:f>
        <x:v>Flat — one observation</x:v>
      </x:c>
      <x:c r="R8" s="24" t="n">
        <x:f>IF(D8=0,"",J8)</x:f>
        <x:v>1</x:v>
      </x:c>
      <x:c r="S8" s="17" t="str">
        <x:f>IF(R8="","N/A",IF(R8&gt;='Methodology'!$G$7,"A",IF(R8&gt;='Methodology'!$G$8,"B",IF(R8&gt;='Methodology'!$G$9,"C",IF(R8&gt;='Methodology'!$G$10,"D","F")))))</x:f>
        <x:v>A</x:v>
      </x:c>
      <x:c r="T8" s="26" t="n">
        <x:f>IF(R8="","",IF(R8&gt;='Methodology'!$G$7,'Methodology'!$H$7,IF(R8&gt;='Methodology'!$G$8,'Methodology'!$H$8,IF(R8&gt;='Methodology'!$G$9,'Methodology'!$H$9,IF(R8&gt;='Methodology'!$G$10,'Methodology'!$H$10,'Methodology'!$H$11)))))</x:f>
        <x:v>4</x:v>
      </x:c>
      <x:c r="U8" s="27" t="n">
        <x:f>MIN(D8,3)</x:f>
        <x:v>1</x:v>
      </x:c>
    </x:row>
    <x:row r="9" ht="15" hidden="0" customHeight="1">
      <x:c r="A9" s="17" t="str">
        <x:v>DES-04</x:v>
      </x:c>
      <x:c r="B9" s="17" t="str">
        <x:v>Business Arena</x:v>
      </x:c>
      <x:c r="C9" s="17" t="str">
        <x:v>Direct economic stewardship</x:v>
      </x:c>
      <x:c r="D9" s="17" t="n">
        <x:f>COUNTIF('Observations'!$A$6:$A$500,A9)</x:f>
        <x:v>1</x:v>
      </x:c>
      <x:c r="E9" s="17" t="str">
        <x:f>IF(D9&lt;3,"",MAXIFS('Observations'!$F$6:$F$500,'Observations'!$A$6:$A$500,A9,'Observations'!$F$6:$F$500,"&lt;"&amp;F9))</x:f>
      </x:c>
      <x:c r="F9" s="17" t="str">
        <x:f>IF(D9&lt;2,"",MAXIFS('Observations'!$F$6:$F$500,'Observations'!$A$6:$A$500,A9,'Observations'!$F$6:$F$500,"&lt;"&amp;G9))</x:f>
      </x:c>
      <x:c r="G9" s="17" t="n">
        <x:f>IF(D9=0,"",MAXIFS('Observations'!$F$6:$F$500,'Observations'!$A$6:$A$500,A9))</x:f>
        <x:v>11</x:v>
      </x:c>
      <x:c r="H9" s="24" t="str">
        <x:f>IF(E9="","",SUMIFS('Observations'!$G$6:$G$500,'Observations'!$A$6:$A$500,A9,'Observations'!$F$6:$F$500,E9))</x:f>
      </x:c>
      <x:c r="I9" s="24" t="str">
        <x:f>IF(F9="","",SUMIFS('Observations'!$G$6:$G$500,'Observations'!$A$6:$A$500,A9,'Observations'!$F$6:$F$500,F9))</x:f>
      </x:c>
      <x:c r="J9" s="24" t="n">
        <x:f>IF(G9="","",SUMIFS('Observations'!$G$6:$G$500,'Observations'!$A$6:$A$500,A9,'Observations'!$F$6:$F$500,G9))</x:f>
        <x:v>0.4321186625247882</x:v>
      </x:c>
      <x:c r="K9" s="25" t="str">
        <x:f>IF(H9="","",IF(H9&gt;=1,30,-LN(1-H9)/LN(2)))</x:f>
      </x:c>
      <x:c r="L9" s="25" t="str">
        <x:f>IF(I9="","",IF(I9&gt;=1,30,-LN(1-I9)/LN(2)))</x:f>
      </x:c>
      <x:c r="M9" s="25" t="n">
        <x:f>IF(J9="","",IF(J9&gt;=1,30,-LN(1-J9)/LN(2)))</x:f>
        <x:v>0.8163385942433947</x:v>
      </x:c>
      <x:c r="N9" s="25" t="n">
        <x:f>IF(D9&lt;2,0,(M9-L9)/(G9-F9))</x:f>
        <x:v>0</x:v>
      </x:c>
      <x:c r="O9" s="25" t="n">
        <x:f>IF(D9&lt;3,0,(L9-K9)/(F9-E9))</x:f>
        <x:v>0</x:v>
      </x:c>
      <x:c r="P9" s="25" t="n">
        <x:f>IF(D9&lt;3,0,(N9-O9)/(((G9-F9)+(F9-E9))/2))</x:f>
        <x:v>0</x:v>
      </x:c>
      <x:c r="Q9" s="17" t="str">
        <x:f>IF(D9=0,"Ungraded — no normalized observation",IF(D9=1,"Flat — one observation",IF(D9=2,"Constant velocity — two observations","Velocity + acceleration — latest three observations")))</x:f>
        <x:v>Flat — one observation</x:v>
      </x:c>
      <x:c r="R9" s="24" t="n">
        <x:f>IF(D9=0,"",J9)</x:f>
        <x:v>0.4321186625247882</x:v>
      </x:c>
      <x:c r="S9" s="17" t="str">
        <x:f>IF(R9="","N/A",IF(R9&gt;='Methodology'!$G$7,"A",IF(R9&gt;='Methodology'!$G$8,"B",IF(R9&gt;='Methodology'!$G$9,"C",IF(R9&gt;='Methodology'!$G$10,"D","F")))))</x:f>
        <x:v>F</x:v>
      </x:c>
      <x:c r="T9" s="26" t="n">
        <x:f>IF(R9="","",IF(R9&gt;='Methodology'!$G$7,'Methodology'!$H$7,IF(R9&gt;='Methodology'!$G$8,'Methodology'!$H$8,IF(R9&gt;='Methodology'!$G$9,'Methodology'!$H$9,IF(R9&gt;='Methodology'!$G$10,'Methodology'!$H$10,'Methodology'!$H$11)))))</x:f>
        <x:v>0</x:v>
      </x:c>
      <x:c r="U9" s="27" t="n">
        <x:f>MIN(D9,3)</x:f>
        <x:v>1</x:v>
      </x:c>
    </x:row>
    <x:row r="10" ht="15" hidden="0" customHeight="1">
      <x:c r="A10" s="17" t="str">
        <x:v>DES-05</x:v>
      </x:c>
      <x:c r="B10" s="17" t="str">
        <x:v>EnterpriseArena</x:v>
      </x:c>
      <x:c r="C10" s="17" t="str">
        <x:v>Direct economic stewardship</x:v>
      </x:c>
      <x:c r="D10" s="17" t="n">
        <x:f>COUNTIF('Observations'!$A$6:$A$500,A10)</x:f>
        <x:v>1</x:v>
      </x:c>
      <x:c r="E10" s="17" t="str">
        <x:f>IF(D10&lt;3,"",MAXIFS('Observations'!$F$6:$F$500,'Observations'!$A$6:$A$500,A10,'Observations'!$F$6:$F$500,"&lt;"&amp;F10))</x:f>
      </x:c>
      <x:c r="F10" s="17" t="str">
        <x:f>IF(D10&lt;2,"",MAXIFS('Observations'!$F$6:$F$500,'Observations'!$A$6:$A$500,A10,'Observations'!$F$6:$F$500,"&lt;"&amp;G10))</x:f>
      </x:c>
      <x:c r="G10" s="17" t="n">
        <x:f>IF(D10=0,"",MAXIFS('Observations'!$F$6:$F$500,'Observations'!$A$6:$A$500,A10))</x:f>
        <x:v>9</x:v>
      </x:c>
      <x:c r="H10" s="24" t="str">
        <x:f>IF(E10="","",SUMIFS('Observations'!$G$6:$G$500,'Observations'!$A$6:$A$500,A10,'Observations'!$F$6:$F$500,E10))</x:f>
      </x:c>
      <x:c r="I10" s="24" t="str">
        <x:f>IF(F10="","",SUMIFS('Observations'!$G$6:$G$500,'Observations'!$A$6:$A$500,A10,'Observations'!$F$6:$F$500,F10))</x:f>
      </x:c>
      <x:c r="J10" s="24" t="n">
        <x:f>IF(G10="","",SUMIFS('Observations'!$G$6:$G$500,'Observations'!$A$6:$A$500,A10,'Observations'!$F$6:$F$500,G10))</x:f>
        <x:v>0.8</x:v>
      </x:c>
      <x:c r="K10" s="25" t="str">
        <x:f>IF(H10="","",IF(H10&gt;=1,30,-LN(1-H10)/LN(2)))</x:f>
      </x:c>
      <x:c r="L10" s="25" t="str">
        <x:f>IF(I10="","",IF(I10&gt;=1,30,-LN(1-I10)/LN(2)))</x:f>
      </x:c>
      <x:c r="M10" s="25" t="n">
        <x:f>IF(J10="","",IF(J10&gt;=1,30,-LN(1-J10)/LN(2)))</x:f>
        <x:v>2.3219280948873626</x:v>
      </x:c>
      <x:c r="N10" s="25" t="n">
        <x:f>IF(D10&lt;2,0,(M10-L10)/(G10-F10))</x:f>
        <x:v>0</x:v>
      </x:c>
      <x:c r="O10" s="25" t="n">
        <x:f>IF(D10&lt;3,0,(L10-K10)/(F10-E10))</x:f>
        <x:v>0</x:v>
      </x:c>
      <x:c r="P10" s="25" t="n">
        <x:f>IF(D10&lt;3,0,(N10-O10)/(((G10-F10)+(F10-E10))/2))</x:f>
        <x:v>0</x:v>
      </x:c>
      <x:c r="Q10" s="17" t="str">
        <x:f>IF(D10=0,"Ungraded — no normalized observation",IF(D10=1,"Flat — one observation",IF(D10=2,"Constant velocity — two observations","Velocity + acceleration — latest three observations")))</x:f>
        <x:v>Flat — one observation</x:v>
      </x:c>
      <x:c r="R10" s="24" t="n">
        <x:f>IF(D10=0,"",J10)</x:f>
        <x:v>0.8</x:v>
      </x:c>
      <x:c r="S10" s="17" t="str">
        <x:f>IF(R10="","N/A",IF(R10&gt;='Methodology'!$G$7,"A",IF(R10&gt;='Methodology'!$G$8,"B",IF(R10&gt;='Methodology'!$G$9,"C",IF(R10&gt;='Methodology'!$G$10,"D","F")))))</x:f>
        <x:v>B</x:v>
      </x:c>
      <x:c r="T10" s="26" t="n">
        <x:f>IF(R10="","",IF(R10&gt;='Methodology'!$G$7,'Methodology'!$H$7,IF(R10&gt;='Methodology'!$G$8,'Methodology'!$H$8,IF(R10&gt;='Methodology'!$G$9,'Methodology'!$H$9,IF(R10&gt;='Methodology'!$G$10,'Methodology'!$H$10,'Methodology'!$H$11)))))</x:f>
        <x:v>3</x:v>
      </x:c>
      <x:c r="U10" s="27" t="n">
        <x:f>MIN(D10,3)</x:f>
        <x:v>1</x:v>
      </x:c>
    </x:row>
    <x:row r="11" ht="15" hidden="0" customHeight="1">
      <x:c r="A11" s="17" t="str">
        <x:v>DES-06</x:v>
      </x:c>
      <x:c r="B11" s="17" t="str">
        <x:v>RetailBench</x:v>
      </x:c>
      <x:c r="C11" s="17" t="str">
        <x:v>Direct economic stewardship</x:v>
      </x:c>
      <x:c r="D11" s="17" t="n">
        <x:f>COUNTIF('Observations'!$A$6:$A$500,A11)</x:f>
        <x:v>1</x:v>
      </x:c>
      <x:c r="E11" s="17" t="str">
        <x:f>IF(D11&lt;3,"",MAXIFS('Observations'!$F$6:$F$500,'Observations'!$A$6:$A$500,A11,'Observations'!$F$6:$F$500,"&lt;"&amp;F11))</x:f>
      </x:c>
      <x:c r="F11" s="17" t="str">
        <x:f>IF(D11&lt;2,"",MAXIFS('Observations'!$F$6:$F$500,'Observations'!$A$6:$A$500,A11,'Observations'!$F$6:$F$500,"&lt;"&amp;G11))</x:f>
      </x:c>
      <x:c r="G11" s="17" t="n">
        <x:f>IF(D11=0,"",MAXIFS('Observations'!$F$6:$F$500,'Observations'!$A$6:$A$500,A11))</x:f>
        <x:v>11</x:v>
      </x:c>
      <x:c r="H11" s="24" t="str">
        <x:f>IF(E11="","",SUMIFS('Observations'!$G$6:$G$500,'Observations'!$A$6:$A$500,A11,'Observations'!$F$6:$F$500,E11))</x:f>
      </x:c>
      <x:c r="I11" s="24" t="str">
        <x:f>IF(F11="","",SUMIFS('Observations'!$G$6:$G$500,'Observations'!$A$6:$A$500,A11,'Observations'!$F$6:$F$500,F11))</x:f>
      </x:c>
      <x:c r="J11" s="24" t="n">
        <x:f>IF(G11="","",SUMIFS('Observations'!$G$6:$G$500,'Observations'!$A$6:$A$500,A11,'Observations'!$F$6:$F$500,G11))</x:f>
        <x:v>0.18516388283148968</x:v>
      </x:c>
      <x:c r="K11" s="25" t="str">
        <x:f>IF(H11="","",IF(H11&gt;=1,30,-LN(1-H11)/LN(2)))</x:f>
      </x:c>
      <x:c r="L11" s="25" t="str">
        <x:f>IF(I11="","",IF(I11&gt;=1,30,-LN(1-I11)/LN(2)))</x:f>
      </x:c>
      <x:c r="M11" s="25" t="n">
        <x:f>IF(J11="","",IF(J11&gt;=1,30,-LN(1-J11)/LN(2)))</x:f>
        <x:v>0.29541816649188574</x:v>
      </x:c>
      <x:c r="N11" s="25" t="n">
        <x:f>IF(D11&lt;2,0,(M11-L11)/(G11-F11))</x:f>
        <x:v>0</x:v>
      </x:c>
      <x:c r="O11" s="25" t="n">
        <x:f>IF(D11&lt;3,0,(L11-K11)/(F11-E11))</x:f>
        <x:v>0</x:v>
      </x:c>
      <x:c r="P11" s="25" t="n">
        <x:f>IF(D11&lt;3,0,(N11-O11)/(((G11-F11)+(F11-E11))/2))</x:f>
        <x:v>0</x:v>
      </x:c>
      <x:c r="Q11" s="17" t="str">
        <x:f>IF(D11=0,"Ungraded — no normalized observation",IF(D11=1,"Flat — one observation",IF(D11=2,"Constant velocity — two observations","Velocity + acceleration — latest three observations")))</x:f>
        <x:v>Flat — one observation</x:v>
      </x:c>
      <x:c r="R11" s="24" t="n">
        <x:f>IF(D11=0,"",J11)</x:f>
        <x:v>0.18516388283148968</x:v>
      </x:c>
      <x:c r="S11" s="17" t="str">
        <x:f>IF(R11="","N/A",IF(R11&gt;='Methodology'!$G$7,"A",IF(R11&gt;='Methodology'!$G$8,"B",IF(R11&gt;='Methodology'!$G$9,"C",IF(R11&gt;='Methodology'!$G$10,"D","F")))))</x:f>
        <x:v>F</x:v>
      </x:c>
      <x:c r="T11" s="26" t="n">
        <x:f>IF(R11="","",IF(R11&gt;='Methodology'!$G$7,'Methodology'!$H$7,IF(R11&gt;='Methodology'!$G$8,'Methodology'!$H$8,IF(R11&gt;='Methodology'!$G$9,'Methodology'!$H$9,IF(R11&gt;='Methodology'!$G$10,'Methodology'!$H$10,'Methodology'!$H$11)))))</x:f>
        <x:v>0</x:v>
      </x:c>
      <x:c r="U11" s="27" t="n">
        <x:f>MIN(D11,3)</x:f>
        <x:v>1</x:v>
      </x:c>
    </x:row>
    <x:row r="12" ht="15" hidden="0" customHeight="1">
      <x:c r="A12" s="17" t="str">
        <x:v>DES-07</x:v>
      </x:c>
      <x:c r="B12" s="17" t="str">
        <x:v>MerchantBench</x:v>
      </x:c>
      <x:c r="C12" s="17" t="str">
        <x:v>Direct economic stewardship</x:v>
      </x:c>
      <x:c r="D12" s="17" t="n">
        <x:f>COUNTIF('Observations'!$A$6:$A$500,A12)</x:f>
        <x:v>1</x:v>
      </x:c>
      <x:c r="E12" s="17" t="str">
        <x:f>IF(D12&lt;3,"",MAXIFS('Observations'!$F$6:$F$500,'Observations'!$A$6:$A$500,A12,'Observations'!$F$6:$F$500,"&lt;"&amp;F12))</x:f>
      </x:c>
      <x:c r="F12" s="17" t="str">
        <x:f>IF(D12&lt;2,"",MAXIFS('Observations'!$F$6:$F$500,'Observations'!$A$6:$A$500,A12,'Observations'!$F$6:$F$500,"&lt;"&amp;G12))</x:f>
      </x:c>
      <x:c r="G12" s="17" t="n">
        <x:f>IF(D12=0,"",MAXIFS('Observations'!$F$6:$F$500,'Observations'!$A$6:$A$500,A12))</x:f>
        <x:v>11</x:v>
      </x:c>
      <x:c r="H12" s="24" t="str">
        <x:f>IF(E12="","",SUMIFS('Observations'!$G$6:$G$500,'Observations'!$A$6:$A$500,A12,'Observations'!$F$6:$F$500,E12))</x:f>
      </x:c>
      <x:c r="I12" s="24" t="str">
        <x:f>IF(F12="","",SUMIFS('Observations'!$G$6:$G$500,'Observations'!$A$6:$A$500,A12,'Observations'!$F$6:$F$500,F12))</x:f>
      </x:c>
      <x:c r="J12" s="24" t="n">
        <x:f>IF(G12="","",SUMIFS('Observations'!$G$6:$G$500,'Observations'!$A$6:$A$500,A12,'Observations'!$F$6:$F$500,G12))</x:f>
        <x:v>0.273</x:v>
      </x:c>
      <x:c r="K12" s="25" t="str">
        <x:f>IF(H12="","",IF(H12&gt;=1,30,-LN(1-H12)/LN(2)))</x:f>
      </x:c>
      <x:c r="L12" s="25" t="str">
        <x:f>IF(I12="","",IF(I12&gt;=1,30,-LN(1-I12)/LN(2)))</x:f>
      </x:c>
      <x:c r="M12" s="25" t="n">
        <x:f>IF(J12="","",IF(J12&gt;=1,30,-LN(1-J12)/LN(2)))</x:f>
        <x:v>0.45997273074249273</x:v>
      </x:c>
      <x:c r="N12" s="25" t="n">
        <x:f>IF(D12&lt;2,0,(M12-L12)/(G12-F12))</x:f>
        <x:v>0</x:v>
      </x:c>
      <x:c r="O12" s="25" t="n">
        <x:f>IF(D12&lt;3,0,(L12-K12)/(F12-E12))</x:f>
        <x:v>0</x:v>
      </x:c>
      <x:c r="P12" s="25" t="n">
        <x:f>IF(D12&lt;3,0,(N12-O12)/(((G12-F12)+(F12-E12))/2))</x:f>
        <x:v>0</x:v>
      </x:c>
      <x:c r="Q12" s="17" t="str">
        <x:f>IF(D12=0,"Ungraded — no normalized observation",IF(D12=1,"Flat — one observation",IF(D12=2,"Constant velocity — two observations","Velocity + acceleration — latest three observations")))</x:f>
        <x:v>Flat — one observation</x:v>
      </x:c>
      <x:c r="R12" s="24" t="n">
        <x:f>IF(D12=0,"",J12)</x:f>
        <x:v>0.273</x:v>
      </x:c>
      <x:c r="S12" s="17" t="str">
        <x:f>IF(R12="","N/A",IF(R12&gt;='Methodology'!$G$7,"A",IF(R12&gt;='Methodology'!$G$8,"B",IF(R12&gt;='Methodology'!$G$9,"C",IF(R12&gt;='Methodology'!$G$10,"D","F")))))</x:f>
        <x:v>F</x:v>
      </x:c>
      <x:c r="T12" s="26" t="n">
        <x:f>IF(R12="","",IF(R12&gt;='Methodology'!$G$7,'Methodology'!$H$7,IF(R12&gt;='Methodology'!$G$8,'Methodology'!$H$8,IF(R12&gt;='Methodology'!$G$9,'Methodology'!$H$9,IF(R12&gt;='Methodology'!$G$10,'Methodology'!$H$10,'Methodology'!$H$11)))))</x:f>
        <x:v>0</x:v>
      </x:c>
      <x:c r="U12" s="27" t="n">
        <x:f>MIN(D12,3)</x:f>
        <x:v>1</x:v>
      </x:c>
    </x:row>
    <x:row r="13" ht="15" hidden="0" customHeight="1">
      <x:c r="A13" s="17" t="str">
        <x:v>OPS-01</x:v>
      </x:c>
      <x:c r="B13" s="17" t="str">
        <x:v>AutomationBench</x:v>
      </x:c>
      <x:c r="C13" s="17" t="str">
        <x:v>Operational execution</x:v>
      </x:c>
      <x:c r="D13" s="17" t="n">
        <x:f>COUNTIF('Observations'!$A$6:$A$500,A13)</x:f>
        <x:v>2</x:v>
      </x:c>
      <x:c r="E13" s="17" t="str">
        <x:f>IF(D13&lt;3,"",MAXIFS('Observations'!$F$6:$F$500,'Observations'!$A$6:$A$500,A13,'Observations'!$F$6:$F$500,"&lt;"&amp;F13))</x:f>
      </x:c>
      <x:c r="F13" s="17" t="n">
        <x:f>IF(D13&lt;2,"",MAXIFS('Observations'!$F$6:$F$500,'Observations'!$A$6:$A$500,A13,'Observations'!$F$6:$F$500,"&lt;"&amp;G13))</x:f>
        <x:v>10</x:v>
      </x:c>
      <x:c r="G13" s="17" t="n">
        <x:f>IF(D13=0,"",MAXIFS('Observations'!$F$6:$F$500,'Observations'!$A$6:$A$500,A13))</x:f>
        <x:v>11</x:v>
      </x:c>
      <x:c r="H13" s="24" t="str">
        <x:f>IF(E13="","",SUMIFS('Observations'!$G$6:$G$500,'Observations'!$A$6:$A$500,A13,'Observations'!$F$6:$F$500,E13))</x:f>
      </x:c>
      <x:c r="I13" s="24" t="n">
        <x:f>IF(F13="","",SUMIFS('Observations'!$G$6:$G$500,'Observations'!$A$6:$A$500,A13,'Observations'!$F$6:$F$500,F13))</x:f>
        <x:v>0.4617</x:v>
      </x:c>
      <x:c r="J13" s="24" t="n">
        <x:f>IF(G13="","",SUMIFS('Observations'!$G$6:$G$500,'Observations'!$A$6:$A$500,A13,'Observations'!$F$6:$F$500,G13))</x:f>
        <x:v>0.503</x:v>
      </x:c>
      <x:c r="K13" s="25" t="str">
        <x:f>IF(H13="","",IF(H13&gt;=1,30,-LN(1-H13)/LN(2)))</x:f>
      </x:c>
      <x:c r="L13" s="25" t="n">
        <x:f>IF(I13="","",IF(I13&gt;=1,30,-LN(1-I13)/LN(2)))</x:f>
        <x:v>0.8935176695300188</x:v>
      </x:c>
      <x:c r="M13" s="25" t="n">
        <x:f>IF(J13="","",IF(J13&gt;=1,30,-LN(1-J13)/LN(2)))</x:f>
        <x:v>1.008682243099801</x:v>
      </x:c>
      <x:c r="N13" s="25" t="n">
        <x:f>IF(D13&lt;2,0,(M13-L13)/(G13-F13))</x:f>
        <x:v>0.11516457356978227</x:v>
      </x:c>
      <x:c r="O13" s="25" t="n">
        <x:f>IF(D13&lt;3,0,(L13-K13)/(F13-E13))</x:f>
        <x:v>0</x:v>
      </x:c>
      <x:c r="P13" s="25" t="n">
        <x:f>IF(D13&lt;3,0,(N13-O13)/(((G13-F13)+(F13-E13))/2))</x:f>
        <x:v>0</x:v>
      </x:c>
      <x:c r="Q13" s="17" t="str">
        <x:f>IF(D13=0,"Ungraded — no normalized observation",IF(D13=1,"Flat — one observation",IF(D13=2,"Constant velocity — two observations","Velocity + acceleration — latest three observations")))</x:f>
        <x:v>Constant velocity — two observations</x:v>
      </x:c>
      <x:c r="R13" s="24" t="n">
        <x:f>IF(D13=0,"",J13)</x:f>
        <x:v>0.503</x:v>
      </x:c>
      <x:c r="S13" s="17" t="str">
        <x:f>IF(R13="","N/A",IF(R13&gt;='Methodology'!$G$7,"A",IF(R13&gt;='Methodology'!$G$8,"B",IF(R13&gt;='Methodology'!$G$9,"C",IF(R13&gt;='Methodology'!$G$10,"D","F")))))</x:f>
        <x:v>F</x:v>
      </x:c>
      <x:c r="T13" s="26" t="n">
        <x:f>IF(R13="","",IF(R13&gt;='Methodology'!$G$7,'Methodology'!$H$7,IF(R13&gt;='Methodology'!$G$8,'Methodology'!$H$8,IF(R13&gt;='Methodology'!$G$9,'Methodology'!$H$9,IF(R13&gt;='Methodology'!$G$10,'Methodology'!$H$10,'Methodology'!$H$11)))))</x:f>
        <x:v>0</x:v>
      </x:c>
      <x:c r="U13" s="27" t="n">
        <x:f>MIN(D13,3)</x:f>
        <x:v>2</x:v>
      </x:c>
    </x:row>
    <x:row r="14" ht="15" hidden="0" customHeight="1">
      <x:c r="A14" s="17" t="str">
        <x:v>OPS-02</x:v>
      </x:c>
      <x:c r="B14" s="17" t="str">
        <x:v>EnterpriseOps-Gym</x:v>
      </x:c>
      <x:c r="C14" s="17" t="str">
        <x:v>Operational execution</x:v>
      </x:c>
      <x:c r="D14" s="17" t="n">
        <x:f>COUNTIF('Observations'!$A$6:$A$500,A14)</x:f>
        <x:v>5</x:v>
      </x:c>
      <x:c r="E14" s="17" t="n">
        <x:f>IF(D14&lt;3,"",MAXIFS('Observations'!$F$6:$F$500,'Observations'!$A$6:$A$500,A14,'Observations'!$F$6:$F$500,"&lt;"&amp;F14))</x:f>
        <x:v>8</x:v>
      </x:c>
      <x:c r="F14" s="17" t="n">
        <x:f>IF(D14&lt;2,"",MAXIFS('Observations'!$F$6:$F$500,'Observations'!$A$6:$A$500,A14,'Observations'!$F$6:$F$500,"&lt;"&amp;G14))</x:f>
        <x:v>9</x:v>
      </x:c>
      <x:c r="G14" s="17" t="n">
        <x:f>IF(D14=0,"",MAXIFS('Observations'!$F$6:$F$500,'Observations'!$A$6:$A$500,A14))</x:f>
        <x:v>11</x:v>
      </x:c>
      <x:c r="H14" s="24" t="n">
        <x:f>IF(E14="","",SUMIFS('Observations'!$G$6:$G$500,'Observations'!$A$6:$A$500,A14,'Observations'!$F$6:$F$500,E14))</x:f>
        <x:v>0.394</x:v>
      </x:c>
      <x:c r="I14" s="24" t="n">
        <x:f>IF(F14="","",SUMIFS('Observations'!$G$6:$G$500,'Observations'!$A$6:$A$500,A14,'Observations'!$F$6:$F$500,F14))</x:f>
        <x:v>0.459</x:v>
      </x:c>
      <x:c r="J14" s="24" t="n">
        <x:f>IF(G14="","",SUMIFS('Observations'!$G$6:$G$500,'Observations'!$A$6:$A$500,A14,'Observations'!$F$6:$F$500,G14))</x:f>
        <x:v>0.511</x:v>
      </x:c>
      <x:c r="K14" s="25" t="n">
        <x:f>IF(H14="","",IF(H14&gt;=1,30,-LN(1-H14)/LN(2)))</x:f>
        <x:v>0.7226103011891362</x:v>
      </x:c>
      <x:c r="L14" s="25" t="n">
        <x:f>IF(I14="","",IF(I14&gt;=1,30,-LN(1-I14)/LN(2)))</x:f>
        <x:v>0.8862995008352721</x:v>
      </x:c>
      <x:c r="M14" s="25" t="n">
        <x:f>IF(J14="","",IF(J14&gt;=1,30,-LN(1-J14)/LN(2)))</x:f>
        <x:v>1.0320936297098533</x:v>
      </x:c>
      <x:c r="N14" s="25" t="n">
        <x:f>IF(D14&lt;2,0,(M14-L14)/(G14-F14))</x:f>
        <x:v>0.0728970644372906</x:v>
      </x:c>
      <x:c r="O14" s="25" t="n">
        <x:f>IF(D14&lt;3,0,(L14-K14)/(F14-E14))</x:f>
        <x:v>0.16368919964613593</x:v>
      </x:c>
      <x:c r="P14" s="25" t="n">
        <x:f>IF(D14&lt;3,0,(N14-O14)/(((G14-F14)+(F14-E14))/2))</x:f>
        <x:v>-0.06052809013923022</x:v>
      </x:c>
      <x:c r="Q14" s="17" t="str">
        <x:f>IF(D14=0,"Ungraded — no normalized observation",IF(D14=1,"Flat — one observation",IF(D14=2,"Constant velocity — two observations","Velocity + acceleration — latest three observations")))</x:f>
        <x:v>Velocity + acceleration — latest three observations</x:v>
      </x:c>
      <x:c r="R14" s="24" t="n">
        <x:f>IF(D14=0,"",J14)</x:f>
        <x:v>0.511</x:v>
      </x:c>
      <x:c r="S14" s="17" t="str">
        <x:f>IF(R14="","N/A",IF(R14&gt;='Methodology'!$G$7,"A",IF(R14&gt;='Methodology'!$G$8,"B",IF(R14&gt;='Methodology'!$G$9,"C",IF(R14&gt;='Methodology'!$G$10,"D","F")))))</x:f>
        <x:v>F</x:v>
      </x:c>
      <x:c r="T14" s="26" t="n">
        <x:f>IF(R14="","",IF(R14&gt;='Methodology'!$G$7,'Methodology'!$H$7,IF(R14&gt;='Methodology'!$G$8,'Methodology'!$H$8,IF(R14&gt;='Methodology'!$G$9,'Methodology'!$H$9,IF(R14&gt;='Methodology'!$G$10,'Methodology'!$H$10,'Methodology'!$H$11)))))</x:f>
        <x:v>0</x:v>
      </x:c>
      <x:c r="U14" s="27" t="n">
        <x:f>MIN(D14,3)</x:f>
        <x:v>3</x:v>
      </x:c>
    </x:row>
    <x:row r="15" ht="15" hidden="0" customHeight="1">
      <x:c r="A15" s="17" t="str">
        <x:v>OPS-03</x:v>
      </x:c>
      <x:c r="B15" s="17" t="str">
        <x:v>Commerce Agent Bench</x:v>
      </x:c>
      <x:c r="C15" s="17" t="str">
        <x:v>Operational execution</x:v>
      </x:c>
      <x:c r="D15" s="17" t="n">
        <x:f>COUNTIF('Observations'!$A$6:$A$500,A15)</x:f>
        <x:v>3</x:v>
      </x:c>
      <x:c r="E15" s="17" t="n">
        <x:f>IF(D15&lt;3,"",MAXIFS('Observations'!$F$6:$F$500,'Observations'!$A$6:$A$500,A15,'Observations'!$F$6:$F$500,"&lt;"&amp;F15))</x:f>
        <x:v>8</x:v>
      </x:c>
      <x:c r="F15" s="17" t="n">
        <x:f>IF(D15&lt;2,"",MAXIFS('Observations'!$F$6:$F$500,'Observations'!$A$6:$A$500,A15,'Observations'!$F$6:$F$500,"&lt;"&amp;G15))</x:f>
        <x:v>10</x:v>
      </x:c>
      <x:c r="G15" s="17" t="n">
        <x:f>IF(D15=0,"",MAXIFS('Observations'!$F$6:$F$500,'Observations'!$A$6:$A$500,A15))</x:f>
        <x:v>11</x:v>
      </x:c>
      <x:c r="H15" s="24" t="n">
        <x:f>IF(E15="","",SUMIFS('Observations'!$G$6:$G$500,'Observations'!$A$6:$A$500,A15,'Observations'!$F$6:$F$500,E15))</x:f>
        <x:v>0.29</x:v>
      </x:c>
      <x:c r="I15" s="24" t="n">
        <x:f>IF(F15="","",SUMIFS('Observations'!$G$6:$G$500,'Observations'!$A$6:$A$500,A15,'Observations'!$F$6:$F$500,F15))</x:f>
        <x:v>0.523</x:v>
      </x:c>
      <x:c r="J15" s="24" t="n">
        <x:f>IF(G15="","",SUMIFS('Observations'!$G$6:$G$500,'Observations'!$A$6:$A$500,A15,'Observations'!$F$6:$F$500,G15))</x:f>
        <x:v>0.607</x:v>
      </x:c>
      <x:c r="K15" s="25" t="n">
        <x:f>IF(H15="","",IF(H15&gt;=1,30,-LN(1-H15)/LN(2)))</x:f>
        <x:v>0.49410907027004275</x:v>
      </x:c>
      <x:c r="L15" s="25" t="n">
        <x:f>IF(I15="","",IF(I15&gt;=1,30,-LN(1-I15)/LN(2)))</x:f>
        <x:v>1.0679388286565756</x:v>
      </x:c>
      <x:c r="M15" s="25" t="n">
        <x:f>IF(J15="","",IF(J15&gt;=1,30,-LN(1-J15)/LN(2)))</x:f>
        <x:v>1.3473987824034805</x:v>
      </x:c>
      <x:c r="N15" s="25" t="n">
        <x:f>IF(D15&lt;2,0,(M15-L15)/(G15-F15))</x:f>
        <x:v>0.2794599537469049</x:v>
      </x:c>
      <x:c r="O15" s="25" t="n">
        <x:f>IF(D15&lt;3,0,(L15-K15)/(F15-E15))</x:f>
        <x:v>0.2869148791932664</x:v>
      </x:c>
      <x:c r="P15" s="25" t="n">
        <x:f>IF(D15&lt;3,0,(N15-O15)/(((G15-F15)+(F15-E15))/2))</x:f>
        <x:v>-0.004969950297574337</x:v>
      </x:c>
      <x:c r="Q15" s="17" t="str">
        <x:f>IF(D15=0,"Ungraded — no normalized observation",IF(D15=1,"Flat — one observation",IF(D15=2,"Constant velocity — two observations","Velocity + acceleration — latest three observations")))</x:f>
        <x:v>Velocity + acceleration — latest three observations</x:v>
      </x:c>
      <x:c r="R15" s="24" t="n">
        <x:f>IF(D15=0,"",J15)</x:f>
        <x:v>0.607</x:v>
      </x:c>
      <x:c r="S15" s="17" t="str">
        <x:f>IF(R15="","N/A",IF(R15&gt;='Methodology'!$G$7,"A",IF(R15&gt;='Methodology'!$G$8,"B",IF(R15&gt;='Methodology'!$G$9,"C",IF(R15&gt;='Methodology'!$G$10,"D","F")))))</x:f>
        <x:v>D</x:v>
      </x:c>
      <x:c r="T15" s="26" t="n">
        <x:f>IF(R15="","",IF(R15&gt;='Methodology'!$G$7,'Methodology'!$H$7,IF(R15&gt;='Methodology'!$G$8,'Methodology'!$H$8,IF(R15&gt;='Methodology'!$G$9,'Methodology'!$H$9,IF(R15&gt;='Methodology'!$G$10,'Methodology'!$H$10,'Methodology'!$H$11)))))</x:f>
        <x:v>1</x:v>
      </x:c>
      <x:c r="U15" s="27" t="n">
        <x:f>MIN(D15,3)</x:f>
        <x:v>3</x:v>
      </x:c>
    </x:row>
    <x:row r="16" ht="15" hidden="0" customHeight="1">
      <x:c r="A16" s="17" t="str">
        <x:v>OPS-04</x:v>
      </x:c>
      <x:c r="B16" s="17" t="str">
        <x:v>ClawMark</x:v>
      </x:c>
      <x:c r="C16" s="17" t="str">
        <x:v>Operational execution</x:v>
      </x:c>
      <x:c r="D16" s="17" t="n">
        <x:f>COUNTIF('Observations'!$A$6:$A$500,A16)</x:f>
        <x:v>1</x:v>
      </x:c>
      <x:c r="E16" s="17" t="str">
        <x:f>IF(D16&lt;3,"",MAXIFS('Observations'!$F$6:$F$500,'Observations'!$A$6:$A$500,A16,'Observations'!$F$6:$F$500,"&lt;"&amp;F16))</x:f>
      </x:c>
      <x:c r="F16" s="17" t="str">
        <x:f>IF(D16&lt;2,"",MAXIFS('Observations'!$F$6:$F$500,'Observations'!$A$6:$A$500,A16,'Observations'!$F$6:$F$500,"&lt;"&amp;G16))</x:f>
      </x:c>
      <x:c r="G16" s="17" t="n">
        <x:f>IF(D16=0,"",MAXIFS('Observations'!$F$6:$F$500,'Observations'!$A$6:$A$500,A16))</x:f>
        <x:v>9</x:v>
      </x:c>
      <x:c r="H16" s="24" t="str">
        <x:f>IF(E16="","",SUMIFS('Observations'!$G$6:$G$500,'Observations'!$A$6:$A$500,A16,'Observations'!$F$6:$F$500,E16))</x:f>
      </x:c>
      <x:c r="I16" s="24" t="str">
        <x:f>IF(F16="","",SUMIFS('Observations'!$G$6:$G$500,'Observations'!$A$6:$A$500,A16,'Observations'!$F$6:$F$500,F16))</x:f>
      </x:c>
      <x:c r="J16" s="24" t="n">
        <x:f>IF(G16="","",SUMIFS('Observations'!$G$6:$G$500,'Observations'!$A$6:$A$500,A16,'Observations'!$F$6:$F$500,G16))</x:f>
        <x:v>0.758</x:v>
      </x:c>
      <x:c r="K16" s="25" t="str">
        <x:f>IF(H16="","",IF(H16&gt;=1,30,-LN(1-H16)/LN(2)))</x:f>
      </x:c>
      <x:c r="L16" s="25" t="str">
        <x:f>IF(I16="","",IF(I16&gt;=1,30,-LN(1-I16)/LN(2)))</x:f>
      </x:c>
      <x:c r="M16" s="25" t="n">
        <x:f>IF(J16="","",IF(J16&gt;=1,30,-LN(1-J16)/LN(2)))</x:f>
        <x:v>2.046921047387493</x:v>
      </x:c>
      <x:c r="N16" s="25" t="n">
        <x:f>IF(D16&lt;2,0,(M16-L16)/(G16-F16))</x:f>
        <x:v>0</x:v>
      </x:c>
      <x:c r="O16" s="25" t="n">
        <x:f>IF(D16&lt;3,0,(L16-K16)/(F16-E16))</x:f>
        <x:v>0</x:v>
      </x:c>
      <x:c r="P16" s="25" t="n">
        <x:f>IF(D16&lt;3,0,(N16-O16)/(((G16-F16)+(F16-E16))/2))</x:f>
        <x:v>0</x:v>
      </x:c>
      <x:c r="Q16" s="17" t="str">
        <x:f>IF(D16=0,"Ungraded — no normalized observation",IF(D16=1,"Flat — one observation",IF(D16=2,"Constant velocity — two observations","Velocity + acceleration — latest three observations")))</x:f>
        <x:v>Flat — one observation</x:v>
      </x:c>
      <x:c r="R16" s="24" t="n">
        <x:f>IF(D16=0,"",J16)</x:f>
        <x:v>0.758</x:v>
      </x:c>
      <x:c r="S16" s="17" t="str">
        <x:f>IF(R16="","N/A",IF(R16&gt;='Methodology'!$G$7,"A",IF(R16&gt;='Methodology'!$G$8,"B",IF(R16&gt;='Methodology'!$G$9,"C",IF(R16&gt;='Methodology'!$G$10,"D","F")))))</x:f>
        <x:v>C</x:v>
      </x:c>
      <x:c r="T16" s="26" t="n">
        <x:f>IF(R16="","",IF(R16&gt;='Methodology'!$G$7,'Methodology'!$H$7,IF(R16&gt;='Methodology'!$G$8,'Methodology'!$H$8,IF(R16&gt;='Methodology'!$G$9,'Methodology'!$H$9,IF(R16&gt;='Methodology'!$G$10,'Methodology'!$H$10,'Methodology'!$H$11)))))</x:f>
        <x:v>2</x:v>
      </x:c>
      <x:c r="U16" s="27" t="n">
        <x:f>MIN(D16,3)</x:f>
        <x:v>1</x:v>
      </x:c>
    </x:row>
    <x:row r="17" ht="15" hidden="0" customHeight="1">
      <x:c r="A17" s="17" t="str">
        <x:v>OPS-05</x:v>
      </x:c>
      <x:c r="B17" s="17" t="str">
        <x:v>TheAgentCompany</x:v>
      </x:c>
      <x:c r="C17" s="17" t="str">
        <x:v>Operational execution</x:v>
      </x:c>
      <x:c r="D17" s="17" t="n">
        <x:f>COUNTIF('Observations'!$A$6:$A$500,A17)</x:f>
        <x:v>3</x:v>
      </x:c>
      <x:c r="E17" s="17" t="n">
        <x:f>IF(D17&lt;3,"",MAXIFS('Observations'!$F$6:$F$500,'Observations'!$A$6:$A$500,A17,'Observations'!$F$6:$F$500,"&lt;"&amp;F17))</x:f>
        <x:v>4</x:v>
      </x:c>
      <x:c r="F17" s="17" t="n">
        <x:f>IF(D17&lt;2,"",MAXIFS('Observations'!$F$6:$F$500,'Observations'!$A$6:$A$500,A17,'Observations'!$F$6:$F$500,"&lt;"&amp;G17))</x:f>
        <x:v>6</x:v>
      </x:c>
      <x:c r="G17" s="17" t="n">
        <x:f>IF(D17=0,"",MAXIFS('Observations'!$F$6:$F$500,'Observations'!$A$6:$A$500,A17))</x:f>
        <x:v>7</x:v>
      </x:c>
      <x:c r="H17" s="24" t="n">
        <x:f>IF(E17="","",SUMIFS('Observations'!$G$6:$G$500,'Observations'!$A$6:$A$500,A17,'Observations'!$F$6:$F$500,E17))</x:f>
        <x:v>0.24</x:v>
      </x:c>
      <x:c r="I17" s="24" t="n">
        <x:f>IF(F17="","",SUMIFS('Observations'!$G$6:$G$500,'Observations'!$A$6:$A$500,A17,'Observations'!$F$6:$F$500,F17))</x:f>
        <x:v>0.303</x:v>
      </x:c>
      <x:c r="J17" s="24" t="n">
        <x:f>IF(G17="","",SUMIFS('Observations'!$G$6:$G$500,'Observations'!$A$6:$A$500,A17,'Observations'!$F$6:$F$500,G17))</x:f>
        <x:v>0.429</x:v>
      </x:c>
      <x:c r="K17" s="25" t="n">
        <x:f>IF(H17="","",IF(H17&gt;=1,30,-LN(1-H17)/LN(2)))</x:f>
        <x:v>0.3959286763311392</x:v>
      </x:c>
      <x:c r="L17" s="25" t="n">
        <x:f>IF(I17="","",IF(I17&gt;=1,30,-LN(1-I17)/LN(2)))</x:f>
        <x:v>0.5207694387936639</x:v>
      </x:c>
      <x:c r="M17" s="25" t="n">
        <x:f>IF(J17="","",IF(J17&gt;=1,30,-LN(1-J17)/LN(2)))</x:f>
        <x:v>0.8084373492992445</x:v>
      </x:c>
      <x:c r="N17" s="25" t="n">
        <x:f>IF(D17&lt;2,0,(M17-L17)/(G17-F17))</x:f>
        <x:v>0.2876679105055806</x:v>
      </x:c>
      <x:c r="O17" s="25" t="n">
        <x:f>IF(D17&lt;3,0,(L17-K17)/(F17-E17))</x:f>
        <x:v>0.06242038123126234</x:v>
      </x:c>
      <x:c r="P17" s="25" t="n">
        <x:f>IF(D17&lt;3,0,(N17-O17)/(((G17-F17)+(F17-E17))/2))</x:f>
        <x:v>0.15016501951621217</x:v>
      </x:c>
      <x:c r="Q17" s="17" t="str">
        <x:f>IF(D17=0,"Ungraded — no normalized observation",IF(D17=1,"Flat — one observation",IF(D17=2,"Constant velocity — two observations","Velocity + acceleration — latest three observations")))</x:f>
        <x:v>Velocity + acceleration — latest three observations</x:v>
      </x:c>
      <x:c r="R17" s="24" t="n">
        <x:f>IF(D17=0,"",J17)</x:f>
        <x:v>0.429</x:v>
      </x:c>
      <x:c r="S17" s="17" t="str">
        <x:f>IF(R17="","N/A",IF(R17&gt;='Methodology'!$G$7,"A",IF(R17&gt;='Methodology'!$G$8,"B",IF(R17&gt;='Methodology'!$G$9,"C",IF(R17&gt;='Methodology'!$G$10,"D","F")))))</x:f>
        <x:v>F</x:v>
      </x:c>
      <x:c r="T17" s="26" t="n">
        <x:f>IF(R17="","",IF(R17&gt;='Methodology'!$G$7,'Methodology'!$H$7,IF(R17&gt;='Methodology'!$G$8,'Methodology'!$H$8,IF(R17&gt;='Methodology'!$G$9,'Methodology'!$H$9,IF(R17&gt;='Methodology'!$G$10,'Methodology'!$H$10,'Methodology'!$H$11)))))</x:f>
        <x:v>0</x:v>
      </x:c>
      <x:c r="U17" s="27" t="n">
        <x:f>MIN(D17,3)</x:f>
        <x:v>3</x:v>
      </x:c>
    </x:row>
    <x:row r="18" ht="15" hidden="0" customHeight="1">
      <x:c r="A18" s="17" t="str">
        <x:v>OPS-06</x:v>
      </x:c>
      <x:c r="B18" s="17" t="str">
        <x:v>WorkArena++</x:v>
      </x:c>
      <x:c r="C18" s="17" t="str">
        <x:v>Operational execution</x:v>
      </x:c>
      <x:c r="D18" s="17" t="n">
        <x:f>COUNTIF('Observations'!$A$6:$A$500,A18)</x:f>
        <x:v>0</x:v>
      </x:c>
      <x:c r="E18" s="17" t="str">
        <x:f>IF(D18&lt;3,"",MAXIFS('Observations'!$F$6:$F$500,'Observations'!$A$6:$A$500,A18,'Observations'!$F$6:$F$500,"&lt;"&amp;F18))</x:f>
      </x:c>
      <x:c r="F18" s="17" t="str">
        <x:f>IF(D18&lt;2,"",MAXIFS('Observations'!$F$6:$F$500,'Observations'!$A$6:$A$500,A18,'Observations'!$F$6:$F$500,"&lt;"&amp;G18))</x:f>
      </x:c>
      <x:c r="G18" s="17" t="str">
        <x:f>IF(D18=0,"",MAXIFS('Observations'!$F$6:$F$500,'Observations'!$A$6:$A$500,A18))</x:f>
      </x:c>
      <x:c r="H18" s="24" t="str">
        <x:f>IF(E18="","",SUMIFS('Observations'!$G$6:$G$500,'Observations'!$A$6:$A$500,A18,'Observations'!$F$6:$F$500,E18))</x:f>
      </x:c>
      <x:c r="I18" s="24" t="str">
        <x:f>IF(F18="","",SUMIFS('Observations'!$G$6:$G$500,'Observations'!$A$6:$A$500,A18,'Observations'!$F$6:$F$500,F18))</x:f>
      </x:c>
      <x:c r="J18" s="24" t="str">
        <x:f>IF(G18="","",SUMIFS('Observations'!$G$6:$G$500,'Observations'!$A$6:$A$500,A18,'Observations'!$F$6:$F$500,G18))</x:f>
      </x:c>
      <x:c r="K18" s="25" t="str">
        <x:f>IF(H18="","",IF(H18&gt;=1,30,-LN(1-H18)/LN(2)))</x:f>
      </x:c>
      <x:c r="L18" s="25" t="str">
        <x:f>IF(I18="","",IF(I18&gt;=1,30,-LN(1-I18)/LN(2)))</x:f>
      </x:c>
      <x:c r="M18" s="25" t="str">
        <x:f>IF(J18="","",IF(J18&gt;=1,30,-LN(1-J18)/LN(2)))</x:f>
      </x:c>
      <x:c r="N18" s="25" t="n">
        <x:f>IF(D18&lt;2,0,(M18-L18)/(G18-F18))</x:f>
        <x:v>0</x:v>
      </x:c>
      <x:c r="O18" s="25" t="n">
        <x:f>IF(D18&lt;3,0,(L18-K18)/(F18-E18))</x:f>
        <x:v>0</x:v>
      </x:c>
      <x:c r="P18" s="25" t="n">
        <x:f>IF(D18&lt;3,0,(N18-O18)/(((G18-F18)+(F18-E18))/2))</x:f>
        <x:v>0</x:v>
      </x:c>
      <x:c r="Q18" s="17" t="str">
        <x:f>IF(D18=0,"Ungraded — no normalized observation",IF(D18=1,"Flat — one observation",IF(D18=2,"Constant velocity — two observations","Velocity + acceleration — latest three observations")))</x:f>
        <x:v>Ungraded — no normalized observation</x:v>
      </x:c>
      <x:c r="R18" s="24" t="str">
        <x:f>IF(D18=0,"",J18)</x:f>
      </x:c>
      <x:c r="S18" s="17" t="str">
        <x:f>IF(R18="","N/A",IF(R18&gt;='Methodology'!$G$7,"A",IF(R18&gt;='Methodology'!$G$8,"B",IF(R18&gt;='Methodology'!$G$9,"C",IF(R18&gt;='Methodology'!$G$10,"D","F")))))</x:f>
        <x:v>N/A</x:v>
      </x:c>
      <x:c r="T18" s="26" t="str">
        <x:f>IF(R18="","",IF(R18&gt;='Methodology'!$G$7,'Methodology'!$H$7,IF(R18&gt;='Methodology'!$G$8,'Methodology'!$H$8,IF(R18&gt;='Methodology'!$G$9,'Methodology'!$H$9,IF(R18&gt;='Methodology'!$G$10,'Methodology'!$H$10,'Methodology'!$H$11)))))</x:f>
      </x:c>
      <x:c r="U18" s="27" t="n">
        <x:f>MIN(D18,3)</x:f>
        <x:v>0</x:v>
      </x:c>
    </x:row>
    <x:row r="19" ht="15" hidden="0" customHeight="1">
      <x:c r="A19" s="17" t="str">
        <x:v>OPS-07</x:v>
      </x:c>
      <x:c r="B19" s="17" t="str">
        <x:v>Finch / FinWorkBench</x:v>
      </x:c>
      <x:c r="C19" s="17" t="str">
        <x:v>Operational execution</x:v>
      </x:c>
      <x:c r="D19" s="17" t="n">
        <x:f>COUNTIF('Observations'!$A$6:$A$500,A19)</x:f>
        <x:v>1</x:v>
      </x:c>
      <x:c r="E19" s="17" t="str">
        <x:f>IF(D19&lt;3,"",MAXIFS('Observations'!$F$6:$F$500,'Observations'!$A$6:$A$500,A19,'Observations'!$F$6:$F$500,"&lt;"&amp;F19))</x:f>
      </x:c>
      <x:c r="F19" s="17" t="str">
        <x:f>IF(D19&lt;2,"",MAXIFS('Observations'!$F$6:$F$500,'Observations'!$A$6:$A$500,A19,'Observations'!$F$6:$F$500,"&lt;"&amp;G19))</x:f>
      </x:c>
      <x:c r="G19" s="17" t="n">
        <x:f>IF(D19=0,"",MAXIFS('Observations'!$F$6:$F$500,'Observations'!$A$6:$A$500,A19))</x:f>
        <x:v>8</x:v>
      </x:c>
      <x:c r="H19" s="24" t="str">
        <x:f>IF(E19="","",SUMIFS('Observations'!$G$6:$G$500,'Observations'!$A$6:$A$500,A19,'Observations'!$F$6:$F$500,E19))</x:f>
      </x:c>
      <x:c r="I19" s="24" t="str">
        <x:f>IF(F19="","",SUMIFS('Observations'!$G$6:$G$500,'Observations'!$A$6:$A$500,A19,'Observations'!$F$6:$F$500,F19))</x:f>
      </x:c>
      <x:c r="J19" s="24" t="n">
        <x:f>IF(G19="","",SUMIFS('Observations'!$G$6:$G$500,'Observations'!$A$6:$A$500,A19,'Observations'!$F$6:$F$500,G19))</x:f>
        <x:v>0.384</x:v>
      </x:c>
      <x:c r="K19" s="25" t="str">
        <x:f>IF(H19="","",IF(H19&gt;=1,30,-LN(1-H19)/LN(2)))</x:f>
      </x:c>
      <x:c r="L19" s="25" t="str">
        <x:f>IF(I19="","",IF(I19&gt;=1,30,-LN(1-I19)/LN(2)))</x:f>
      </x:c>
      <x:c r="M19" s="25" t="n">
        <x:f>IF(J19="","",IF(J19&gt;=1,30,-LN(1-J19)/LN(2)))</x:f>
        <x:v>0.6989977439671857</x:v>
      </x:c>
      <x:c r="N19" s="25" t="n">
        <x:f>IF(D19&lt;2,0,(M19-L19)/(G19-F19))</x:f>
        <x:v>0</x:v>
      </x:c>
      <x:c r="O19" s="25" t="n">
        <x:f>IF(D19&lt;3,0,(L19-K19)/(F19-E19))</x:f>
        <x:v>0</x:v>
      </x:c>
      <x:c r="P19" s="25" t="n">
        <x:f>IF(D19&lt;3,0,(N19-O19)/(((G19-F19)+(F19-E19))/2))</x:f>
        <x:v>0</x:v>
      </x:c>
      <x:c r="Q19" s="17" t="str">
        <x:f>IF(D19=0,"Ungraded — no normalized observation",IF(D19=1,"Flat — one observation",IF(D19=2,"Constant velocity — two observations","Velocity + acceleration — latest three observations")))</x:f>
        <x:v>Flat — one observation</x:v>
      </x:c>
      <x:c r="R19" s="24" t="n">
        <x:f>IF(D19=0,"",J19)</x:f>
        <x:v>0.384</x:v>
      </x:c>
      <x:c r="S19" s="17" t="str">
        <x:f>IF(R19="","N/A",IF(R19&gt;='Methodology'!$G$7,"A",IF(R19&gt;='Methodology'!$G$8,"B",IF(R19&gt;='Methodology'!$G$9,"C",IF(R19&gt;='Methodology'!$G$10,"D","F")))))</x:f>
        <x:v>F</x:v>
      </x:c>
      <x:c r="T19" s="26" t="n">
        <x:f>IF(R19="","",IF(R19&gt;='Methodology'!$G$7,'Methodology'!$H$7,IF(R19&gt;='Methodology'!$G$8,'Methodology'!$H$8,IF(R19&gt;='Methodology'!$G$9,'Methodology'!$H$9,IF(R19&gt;='Methodology'!$G$10,'Methodology'!$H$10,'Methodology'!$H$11)))))</x:f>
        <x:v>0</x:v>
      </x:c>
      <x:c r="U19" s="27" t="n">
        <x:f>MIN(D19,3)</x:f>
        <x:v>1</x:v>
      </x:c>
    </x:row>
    <x:row r="20" ht="15" hidden="0" customHeight="1">
      <x:c r="A20" s="17" t="str">
        <x:v>OPS-08</x:v>
      </x:c>
      <x:c r="B20" s="17" t="str">
        <x:v>tau3 Banking</x:v>
      </x:c>
      <x:c r="C20" s="17" t="str">
        <x:v>Operational execution</x:v>
      </x:c>
      <x:c r="D20" s="17" t="n">
        <x:f>COUNTIF('Observations'!$A$6:$A$500,A20)</x:f>
        <x:v>5</x:v>
      </x:c>
      <x:c r="E20" s="17" t="n">
        <x:f>IF(D20&lt;3,"",MAXIFS('Observations'!$F$6:$F$500,'Observations'!$A$6:$A$500,A20,'Observations'!$F$6:$F$500,"&lt;"&amp;F20))</x:f>
        <x:v>9</x:v>
      </x:c>
      <x:c r="F20" s="17" t="n">
        <x:f>IF(D20&lt;2,"",MAXIFS('Observations'!$F$6:$F$500,'Observations'!$A$6:$A$500,A20,'Observations'!$F$6:$F$500,"&lt;"&amp;G20))</x:f>
        <x:v>10</x:v>
      </x:c>
      <x:c r="G20" s="17" t="n">
        <x:f>IF(D20=0,"",MAXIFS('Observations'!$F$6:$F$500,'Observations'!$A$6:$A$500,A20))</x:f>
        <x:v>11</x:v>
      </x:c>
      <x:c r="H20" s="24" t="n">
        <x:f>IF(E20="","",SUMIFS('Observations'!$G$6:$G$500,'Observations'!$A$6:$A$500,A20,'Observations'!$F$6:$F$500,E20))</x:f>
        <x:v>0.394</x:v>
      </x:c>
      <x:c r="I20" s="24" t="n">
        <x:f>IF(F20="","",SUMIFS('Observations'!$G$6:$G$500,'Observations'!$A$6:$A$500,A20,'Observations'!$F$6:$F$500,F20))</x:f>
        <x:v>0.446</x:v>
      </x:c>
      <x:c r="J20" s="24" t="n">
        <x:f>IF(G20="","",SUMIFS('Observations'!$G$6:$G$500,'Observations'!$A$6:$A$500,A20,'Observations'!$F$6:$F$500,G20))</x:f>
        <x:v>0.552</x:v>
      </x:c>
      <x:c r="K20" s="25" t="n">
        <x:f>IF(H20="","",IF(H20&gt;=1,30,-LN(1-H20)/LN(2)))</x:f>
        <x:v>0.7226103011891362</x:v>
      </x:c>
      <x:c r="L20" s="25" t="n">
        <x:f>IF(I20="","",IF(I20&gt;=1,30,-LN(1-I20)/LN(2)))</x:f>
        <x:v>0.8520421186128986</x:v>
      </x:c>
      <x:c r="M20" s="25" t="n">
        <x:f>IF(J20="","",IF(J20&gt;=1,30,-LN(1-J20)/LN(2)))</x:f>
        <x:v>1.158429362604483</x:v>
      </x:c>
      <x:c r="N20" s="25" t="n">
        <x:f>IF(D20&lt;2,0,(M20-L20)/(G20-F20))</x:f>
        <x:v>0.30638724399158446</x:v>
      </x:c>
      <x:c r="O20" s="25" t="n">
        <x:f>IF(D20&lt;3,0,(L20-K20)/(F20-E20))</x:f>
        <x:v>0.12943181742376242</x:v>
      </x:c>
      <x:c r="P20" s="25" t="n">
        <x:f>IF(D20&lt;3,0,(N20-O20)/(((G20-F20)+(F20-E20))/2))</x:f>
        <x:v>0.17695542656782204</x:v>
      </x:c>
      <x:c r="Q20" s="17" t="str">
        <x:f>IF(D20=0,"Ungraded — no normalized observation",IF(D20=1,"Flat — one observation",IF(D20=2,"Constant velocity — two observations","Velocity + acceleration — latest three observations")))</x:f>
        <x:v>Velocity + acceleration — latest three observations</x:v>
      </x:c>
      <x:c r="R20" s="24" t="n">
        <x:f>IF(D20=0,"",J20)</x:f>
        <x:v>0.552</x:v>
      </x:c>
      <x:c r="S20" s="17" t="str">
        <x:f>IF(R20="","N/A",IF(R20&gt;='Methodology'!$G$7,"A",IF(R20&gt;='Methodology'!$G$8,"B",IF(R20&gt;='Methodology'!$G$9,"C",IF(R20&gt;='Methodology'!$G$10,"D","F")))))</x:f>
        <x:v>F</x:v>
      </x:c>
      <x:c r="T20" s="26" t="n">
        <x:f>IF(R20="","",IF(R20&gt;='Methodology'!$G$7,'Methodology'!$H$7,IF(R20&gt;='Methodology'!$G$8,'Methodology'!$H$8,IF(R20&gt;='Methodology'!$G$9,'Methodology'!$H$9,IF(R20&gt;='Methodology'!$G$10,'Methodology'!$H$10,'Methodology'!$H$11)))))</x:f>
        <x:v>0</x:v>
      </x:c>
      <x:c r="U20" s="27" t="n">
        <x:f>MIN(D20,3)</x:f>
        <x:v>3</x:v>
      </x:c>
    </x:row>
    <x:row r="21" ht="15" hidden="0" customHeight="1">
      <x:c r="A21" s="17" t="str">
        <x:v>PER-01</x:v>
      </x:c>
      <x:c r="B21" s="17" t="str">
        <x:v>MyPCBench</x:v>
      </x:c>
      <x:c r="C21" s="17" t="str">
        <x:v>Personal stewardship transfer</x:v>
      </x:c>
      <x:c r="D21" s="17" t="n">
        <x:f>COUNTIF('Observations'!$A$6:$A$500,A21)</x:f>
        <x:v>1</x:v>
      </x:c>
      <x:c r="E21" s="17" t="str">
        <x:f>IF(D21&lt;3,"",MAXIFS('Observations'!$F$6:$F$500,'Observations'!$A$6:$A$500,A21,'Observations'!$F$6:$F$500,"&lt;"&amp;F21))</x:f>
      </x:c>
      <x:c r="F21" s="17" t="str">
        <x:f>IF(D21&lt;2,"",MAXIFS('Observations'!$F$6:$F$500,'Observations'!$A$6:$A$500,A21,'Observations'!$F$6:$F$500,"&lt;"&amp;G21))</x:f>
      </x:c>
      <x:c r="G21" s="17" t="n">
        <x:f>IF(D21=0,"",MAXIFS('Observations'!$F$6:$F$500,'Observations'!$A$6:$A$500,A21))</x:f>
        <x:v>9</x:v>
      </x:c>
      <x:c r="H21" s="24" t="str">
        <x:f>IF(E21="","",SUMIFS('Observations'!$G$6:$G$500,'Observations'!$A$6:$A$500,A21,'Observations'!$F$6:$F$500,E21))</x:f>
      </x:c>
      <x:c r="I21" s="24" t="str">
        <x:f>IF(F21="","",SUMIFS('Observations'!$G$6:$G$500,'Observations'!$A$6:$A$500,A21,'Observations'!$F$6:$F$500,F21))</x:f>
      </x:c>
      <x:c r="J21" s="24" t="n">
        <x:f>IF(G21="","",SUMIFS('Observations'!$G$6:$G$500,'Observations'!$A$6:$A$500,A21,'Observations'!$F$6:$F$500,G21))</x:f>
        <x:v>0.582</x:v>
      </x:c>
      <x:c r="K21" s="25" t="str">
        <x:f>IF(H21="","",IF(H21&gt;=1,30,-LN(1-H21)/LN(2)))</x:f>
      </x:c>
      <x:c r="L21" s="25" t="str">
        <x:f>IF(I21="","",IF(I21&gt;=1,30,-LN(1-I21)/LN(2)))</x:f>
      </x:c>
      <x:c r="M21" s="25" t="n">
        <x:f>IF(J21="","",IF(J21&gt;=1,30,-LN(1-J21)/LN(2)))</x:f>
        <x:v>1.2584251525812042</x:v>
      </x:c>
      <x:c r="N21" s="25" t="n">
        <x:f>IF(D21&lt;2,0,(M21-L21)/(G21-F21))</x:f>
        <x:v>0</x:v>
      </x:c>
      <x:c r="O21" s="25" t="n">
        <x:f>IF(D21&lt;3,0,(L21-K21)/(F21-E21))</x:f>
        <x:v>0</x:v>
      </x:c>
      <x:c r="P21" s="25" t="n">
        <x:f>IF(D21&lt;3,0,(N21-O21)/(((G21-F21)+(F21-E21))/2))</x:f>
        <x:v>0</x:v>
      </x:c>
      <x:c r="Q21" s="17" t="str">
        <x:f>IF(D21=0,"Ungraded — no normalized observation",IF(D21=1,"Flat — one observation",IF(D21=2,"Constant velocity — two observations","Velocity + acceleration — latest three observations")))</x:f>
        <x:v>Flat — one observation</x:v>
      </x:c>
      <x:c r="R21" s="24" t="n">
        <x:f>IF(D21=0,"",J21)</x:f>
        <x:v>0.582</x:v>
      </x:c>
      <x:c r="S21" s="17" t="str">
        <x:f>IF(R21="","N/A",IF(R21&gt;='Methodology'!$G$7,"A",IF(R21&gt;='Methodology'!$G$8,"B",IF(R21&gt;='Methodology'!$G$9,"C",IF(R21&gt;='Methodology'!$G$10,"D","F")))))</x:f>
        <x:v>F</x:v>
      </x:c>
      <x:c r="T21" s="26" t="n">
        <x:f>IF(R21="","",IF(R21&gt;='Methodology'!$G$7,'Methodology'!$H$7,IF(R21&gt;='Methodology'!$G$8,'Methodology'!$H$8,IF(R21&gt;='Methodology'!$G$9,'Methodology'!$H$9,IF(R21&gt;='Methodology'!$G$10,'Methodology'!$H$10,'Methodology'!$H$11)))))</x:f>
        <x:v>0</x:v>
      </x:c>
      <x:c r="U21" s="27" t="n">
        <x:f>MIN(D21,3)</x:f>
        <x:v>1</x:v>
      </x:c>
    </x:row>
    <x:row r="22" ht="15" hidden="0" customHeight="1">
      <x:c r="A22" s="17" t="str">
        <x:v>PER-02</x:v>
      </x:c>
      <x:c r="B22" s="17" t="str">
        <x:v>pi-Bench</x:v>
      </x:c>
      <x:c r="C22" s="17" t="str">
        <x:v>Personal stewardship transfer</x:v>
      </x:c>
      <x:c r="D22" s="17" t="n">
        <x:f>COUNTIF('Observations'!$A$6:$A$500,A22)</x:f>
        <x:v>1</x:v>
      </x:c>
      <x:c r="E22" s="17" t="str">
        <x:f>IF(D22&lt;3,"",MAXIFS('Observations'!$F$6:$F$500,'Observations'!$A$6:$A$500,A22,'Observations'!$F$6:$F$500,"&lt;"&amp;F22))</x:f>
      </x:c>
      <x:c r="F22" s="17" t="str">
        <x:f>IF(D22&lt;2,"",MAXIFS('Observations'!$F$6:$F$500,'Observations'!$A$6:$A$500,A22,'Observations'!$F$6:$F$500,"&lt;"&amp;G22))</x:f>
      </x:c>
      <x:c r="G22" s="17" t="n">
        <x:f>IF(D22=0,"",MAXIFS('Observations'!$F$6:$F$500,'Observations'!$A$6:$A$500,A22))</x:f>
        <x:v>9</x:v>
      </x:c>
      <x:c r="H22" s="24" t="str">
        <x:f>IF(E22="","",SUMIFS('Observations'!$G$6:$G$500,'Observations'!$A$6:$A$500,A22,'Observations'!$F$6:$F$500,E22))</x:f>
      </x:c>
      <x:c r="I22" s="24" t="str">
        <x:f>IF(F22="","",SUMIFS('Observations'!$G$6:$G$500,'Observations'!$A$6:$A$500,A22,'Observations'!$F$6:$F$500,F22))</x:f>
      </x:c>
      <x:c r="J22" s="24" t="n">
        <x:f>IF(G22="","",SUMIFS('Observations'!$G$6:$G$500,'Observations'!$A$6:$A$500,A22,'Observations'!$F$6:$F$500,G22))</x:f>
        <x:v>0.676</x:v>
      </x:c>
      <x:c r="K22" s="25" t="str">
        <x:f>IF(H22="","",IF(H22&gt;=1,30,-LN(1-H22)/LN(2)))</x:f>
      </x:c>
      <x:c r="L22" s="25" t="str">
        <x:f>IF(I22="","",IF(I22&gt;=1,30,-LN(1-I22)/LN(2)))</x:f>
      </x:c>
      <x:c r="M22" s="25" t="n">
        <x:f>IF(J22="","",IF(J22&gt;=1,30,-LN(1-J22)/LN(2)))</x:f>
        <x:v>1.6259342817774625</x:v>
      </x:c>
      <x:c r="N22" s="25" t="n">
        <x:f>IF(D22&lt;2,0,(M22-L22)/(G22-F22))</x:f>
        <x:v>0</x:v>
      </x:c>
      <x:c r="O22" s="25" t="n">
        <x:f>IF(D22&lt;3,0,(L22-K22)/(F22-E22))</x:f>
        <x:v>0</x:v>
      </x:c>
      <x:c r="P22" s="25" t="n">
        <x:f>IF(D22&lt;3,0,(N22-O22)/(((G22-F22)+(F22-E22))/2))</x:f>
        <x:v>0</x:v>
      </x:c>
      <x:c r="Q22" s="17" t="str">
        <x:f>IF(D22=0,"Ungraded — no normalized observation",IF(D22=1,"Flat — one observation",IF(D22=2,"Constant velocity — two observations","Velocity + acceleration — latest three observations")))</x:f>
        <x:v>Flat — one observation</x:v>
      </x:c>
      <x:c r="R22" s="24" t="n">
        <x:f>IF(D22=0,"",J22)</x:f>
        <x:v>0.676</x:v>
      </x:c>
      <x:c r="S22" s="17" t="str">
        <x:f>IF(R22="","N/A",IF(R22&gt;='Methodology'!$G$7,"A",IF(R22&gt;='Methodology'!$G$8,"B",IF(R22&gt;='Methodology'!$G$9,"C",IF(R22&gt;='Methodology'!$G$10,"D","F")))))</x:f>
        <x:v>D</x:v>
      </x:c>
      <x:c r="T22" s="26" t="n">
        <x:f>IF(R22="","",IF(R22&gt;='Methodology'!$G$7,'Methodology'!$H$7,IF(R22&gt;='Methodology'!$G$8,'Methodology'!$H$8,IF(R22&gt;='Methodology'!$G$9,'Methodology'!$H$9,IF(R22&gt;='Methodology'!$G$10,'Methodology'!$H$10,'Methodology'!$H$11)))))</x:f>
        <x:v>1</x:v>
      </x:c>
      <x:c r="U22" s="27" t="n">
        <x:f>MIN(D22,3)</x:f>
        <x:v>1</x:v>
      </x:c>
    </x:row>
    <x:row r="23" ht="15" hidden="0" customHeight="1">
      <x:c r="A23" s="17" t="str">
        <x:v>PER-03</x:v>
      </x:c>
      <x:c r="B23" s="17" t="str">
        <x:v>ClawBench</x:v>
      </x:c>
      <x:c r="C23" s="17" t="str">
        <x:v>Personal stewardship transfer</x:v>
      </x:c>
      <x:c r="D23" s="17" t="n">
        <x:f>COUNTIF('Observations'!$A$6:$A$500,A23)</x:f>
        <x:v>1</x:v>
      </x:c>
      <x:c r="E23" s="17" t="str">
        <x:f>IF(D23&lt;3,"",MAXIFS('Observations'!$F$6:$F$500,'Observations'!$A$6:$A$500,A23,'Observations'!$F$6:$F$500,"&lt;"&amp;F23))</x:f>
      </x:c>
      <x:c r="F23" s="17" t="str">
        <x:f>IF(D23&lt;2,"",MAXIFS('Observations'!$F$6:$F$500,'Observations'!$A$6:$A$500,A23,'Observations'!$F$6:$F$500,"&lt;"&amp;G23))</x:f>
      </x:c>
      <x:c r="G23" s="17" t="n">
        <x:f>IF(D23=0,"",MAXIFS('Observations'!$F$6:$F$500,'Observations'!$A$6:$A$500,A23))</x:f>
        <x:v>10</x:v>
      </x:c>
      <x:c r="H23" s="24" t="str">
        <x:f>IF(E23="","",SUMIFS('Observations'!$G$6:$G$500,'Observations'!$A$6:$A$500,A23,'Observations'!$F$6:$F$500,E23))</x:f>
      </x:c>
      <x:c r="I23" s="24" t="str">
        <x:f>IF(F23="","",SUMIFS('Observations'!$G$6:$G$500,'Observations'!$A$6:$A$500,A23,'Observations'!$F$6:$F$500,F23))</x:f>
      </x:c>
      <x:c r="J23" s="24" t="n">
        <x:f>IF(G23="","",SUMIFS('Observations'!$G$6:$G$500,'Observations'!$A$6:$A$500,A23,'Observations'!$F$6:$F$500,G23))</x:f>
        <x:v>0.333</x:v>
      </x:c>
      <x:c r="K23" s="25" t="str">
        <x:f>IF(H23="","",IF(H23&gt;=1,30,-LN(1-H23)/LN(2)))</x:f>
      </x:c>
      <x:c r="L23" s="25" t="str">
        <x:f>IF(I23="","",IF(I23&gt;=1,30,-LN(1-I23)/LN(2)))</x:f>
      </x:c>
      <x:c r="M23" s="25" t="n">
        <x:f>IF(J23="","",IF(J23&gt;=1,30,-LN(1-J23)/LN(2)))</x:f>
        <x:v>0.584241333477502</x:v>
      </x:c>
      <x:c r="N23" s="25" t="n">
        <x:f>IF(D23&lt;2,0,(M23-L23)/(G23-F23))</x:f>
        <x:v>0</x:v>
      </x:c>
      <x:c r="O23" s="25" t="n">
        <x:f>IF(D23&lt;3,0,(L23-K23)/(F23-E23))</x:f>
        <x:v>0</x:v>
      </x:c>
      <x:c r="P23" s="25" t="n">
        <x:f>IF(D23&lt;3,0,(N23-O23)/(((G23-F23)+(F23-E23))/2))</x:f>
        <x:v>0</x:v>
      </x:c>
      <x:c r="Q23" s="17" t="str">
        <x:f>IF(D23=0,"Ungraded — no normalized observation",IF(D23=1,"Flat — one observation",IF(D23=2,"Constant velocity — two observations","Velocity + acceleration — latest three observations")))</x:f>
        <x:v>Flat — one observation</x:v>
      </x:c>
      <x:c r="R23" s="24" t="n">
        <x:f>IF(D23=0,"",J23)</x:f>
        <x:v>0.333</x:v>
      </x:c>
      <x:c r="S23" s="17" t="str">
        <x:f>IF(R23="","N/A",IF(R23&gt;='Methodology'!$G$7,"A",IF(R23&gt;='Methodology'!$G$8,"B",IF(R23&gt;='Methodology'!$G$9,"C",IF(R23&gt;='Methodology'!$G$10,"D","F")))))</x:f>
        <x:v>F</x:v>
      </x:c>
      <x:c r="T23" s="26" t="n">
        <x:f>IF(R23="","",IF(R23&gt;='Methodology'!$G$7,'Methodology'!$H$7,IF(R23&gt;='Methodology'!$G$8,'Methodology'!$H$8,IF(R23&gt;='Methodology'!$G$9,'Methodology'!$H$9,IF(R23&gt;='Methodology'!$G$10,'Methodology'!$H$10,'Methodology'!$H$11)))))</x:f>
        <x:v>0</x:v>
      </x:c>
      <x:c r="U23" s="27" t="n">
        <x:f>MIN(D23,3)</x:f>
        <x:v>1</x:v>
      </x:c>
    </x:row>
    <x:row r="24" ht="15" hidden="0" customHeight="1">
      <x:c r="A24" s="17" t="str">
        <x:v>PER-04</x:v>
      </x:c>
      <x:c r="B24" s="17" t="str">
        <x:v>AssistantBench</x:v>
      </x:c>
      <x:c r="C24" s="17" t="str">
        <x:v>Personal stewardship transfer</x:v>
      </x:c>
      <x:c r="D24" s="17" t="n">
        <x:f>COUNTIF('Observations'!$A$6:$A$500,A24)</x:f>
        <x:v>2</x:v>
      </x:c>
      <x:c r="E24" s="17" t="str">
        <x:f>IF(D24&lt;3,"",MAXIFS('Observations'!$F$6:$F$500,'Observations'!$A$6:$A$500,A24,'Observations'!$F$6:$F$500,"&lt;"&amp;F24))</x:f>
      </x:c>
      <x:c r="F24" s="17" t="n">
        <x:f>IF(D24&lt;2,"",MAXIFS('Observations'!$F$6:$F$500,'Observations'!$A$6:$A$500,A24,'Observations'!$F$6:$F$500,"&lt;"&amp;G24))</x:f>
        <x:v>3</x:v>
      </x:c>
      <x:c r="G24" s="17" t="n">
        <x:f>IF(D24=0,"",MAXIFS('Observations'!$F$6:$F$500,'Observations'!$A$6:$A$500,A24))</x:f>
        <x:v>7</x:v>
      </x:c>
      <x:c r="H24" s="24" t="str">
        <x:f>IF(E24="","",SUMIFS('Observations'!$G$6:$G$500,'Observations'!$A$6:$A$500,A24,'Observations'!$F$6:$F$500,E24))</x:f>
      </x:c>
      <x:c r="I24" s="24" t="n">
        <x:f>IF(F24="","",SUMIFS('Observations'!$G$6:$G$500,'Observations'!$A$6:$A$500,A24,'Observations'!$F$6:$F$500,F24))</x:f>
        <x:v>0.252</x:v>
      </x:c>
      <x:c r="J24" s="24" t="n">
        <x:f>IF(G24="","",SUMIFS('Observations'!$G$6:$G$500,'Observations'!$A$6:$A$500,A24,'Observations'!$F$6:$F$500,G24))</x:f>
        <x:v>0.367</x:v>
      </x:c>
      <x:c r="K24" s="25" t="str">
        <x:f>IF(H24="","",IF(H24&gt;=1,30,-LN(1-H24)/LN(2)))</x:f>
      </x:c>
      <x:c r="L24" s="25" t="n">
        <x:f>IF(I24="","",IF(I24&gt;=1,30,-LN(1-I24)/LN(2)))</x:f>
        <x:v>0.41888982477445036</x:v>
      </x:c>
      <x:c r="M24" s="25" t="n">
        <x:f>IF(J24="","",IF(J24&gt;=1,30,-LN(1-J24)/LN(2)))</x:f>
        <x:v>0.6597225952337457</x:v>
      </x:c>
      <x:c r="N24" s="25" t="n">
        <x:f>IF(D24&lt;2,0,(M24-L24)/(G24-F24))</x:f>
        <x:v>0.060208192614823824</x:v>
      </x:c>
      <x:c r="O24" s="25" t="n">
        <x:f>IF(D24&lt;3,0,(L24-K24)/(F24-E24))</x:f>
        <x:v>0</x:v>
      </x:c>
      <x:c r="P24" s="25" t="n">
        <x:f>IF(D24&lt;3,0,(N24-O24)/(((G24-F24)+(F24-E24))/2))</x:f>
        <x:v>0</x:v>
      </x:c>
      <x:c r="Q24" s="17" t="str">
        <x:f>IF(D24=0,"Ungraded — no normalized observation",IF(D24=1,"Flat — one observation",IF(D24=2,"Constant velocity — two observations","Velocity + acceleration — latest three observations")))</x:f>
        <x:v>Constant velocity — two observations</x:v>
      </x:c>
      <x:c r="R24" s="24" t="n">
        <x:f>IF(D24=0,"",J24)</x:f>
        <x:v>0.367</x:v>
      </x:c>
      <x:c r="S24" s="17" t="str">
        <x:f>IF(R24="","N/A",IF(R24&gt;='Methodology'!$G$7,"A",IF(R24&gt;='Methodology'!$G$8,"B",IF(R24&gt;='Methodology'!$G$9,"C",IF(R24&gt;='Methodology'!$G$10,"D","F")))))</x:f>
        <x:v>F</x:v>
      </x:c>
      <x:c r="T24" s="26" t="n">
        <x:f>IF(R24="","",IF(R24&gt;='Methodology'!$G$7,'Methodology'!$H$7,IF(R24&gt;='Methodology'!$G$8,'Methodology'!$H$8,IF(R24&gt;='Methodology'!$G$9,'Methodology'!$H$9,IF(R24&gt;='Methodology'!$G$10,'Methodology'!$H$10,'Methodology'!$H$11)))))</x:f>
        <x:v>0</x:v>
      </x:c>
      <x:c r="U24" s="27" t="n">
        <x:f>MIN(D24,3)</x:f>
        <x:v>2</x:v>
      </x:c>
    </x:row>
    <x:row r="25" ht="15" hidden="0" customHeight="1">
      <x:c r="A25" s="17" t="str">
        <x:v>VAL-01</x:v>
      </x:c>
      <x:c r="B25" s="17" t="str">
        <x:v>GDPval</x:v>
      </x:c>
      <x:c r="C25" s="17" t="str">
        <x:v>Economic value &amp; governance</x:v>
      </x:c>
      <x:c r="D25" s="17" t="n">
        <x:f>COUNTIF('Observations'!$A$6:$A$500,A25)</x:f>
        <x:v>0</x:v>
      </x:c>
      <x:c r="E25" s="17" t="str">
        <x:f>IF(D25&lt;3,"",MAXIFS('Observations'!$F$6:$F$500,'Observations'!$A$6:$A$500,A25,'Observations'!$F$6:$F$500,"&lt;"&amp;F25))</x:f>
      </x:c>
      <x:c r="F25" s="17" t="str">
        <x:f>IF(D25&lt;2,"",MAXIFS('Observations'!$F$6:$F$500,'Observations'!$A$6:$A$500,A25,'Observations'!$F$6:$F$500,"&lt;"&amp;G25))</x:f>
      </x:c>
      <x:c r="G25" s="17" t="str">
        <x:f>IF(D25=0,"",MAXIFS('Observations'!$F$6:$F$500,'Observations'!$A$6:$A$500,A25))</x:f>
      </x:c>
      <x:c r="H25" s="24" t="str">
        <x:f>IF(E25="","",SUMIFS('Observations'!$G$6:$G$500,'Observations'!$A$6:$A$500,A25,'Observations'!$F$6:$F$500,E25))</x:f>
      </x:c>
      <x:c r="I25" s="24" t="str">
        <x:f>IF(F25="","",SUMIFS('Observations'!$G$6:$G$500,'Observations'!$A$6:$A$500,A25,'Observations'!$F$6:$F$500,F25))</x:f>
      </x:c>
      <x:c r="J25" s="24" t="str">
        <x:f>IF(G25="","",SUMIFS('Observations'!$G$6:$G$500,'Observations'!$A$6:$A$500,A25,'Observations'!$F$6:$F$500,G25))</x:f>
      </x:c>
      <x:c r="K25" s="25" t="str">
        <x:f>IF(H25="","",IF(H25&gt;=1,30,-LN(1-H25)/LN(2)))</x:f>
      </x:c>
      <x:c r="L25" s="25" t="str">
        <x:f>IF(I25="","",IF(I25&gt;=1,30,-LN(1-I25)/LN(2)))</x:f>
      </x:c>
      <x:c r="M25" s="25" t="str">
        <x:f>IF(J25="","",IF(J25&gt;=1,30,-LN(1-J25)/LN(2)))</x:f>
      </x:c>
      <x:c r="N25" s="25" t="n">
        <x:f>IF(D25&lt;2,0,(M25-L25)/(G25-F25))</x:f>
        <x:v>0</x:v>
      </x:c>
      <x:c r="O25" s="25" t="n">
        <x:f>IF(D25&lt;3,0,(L25-K25)/(F25-E25))</x:f>
        <x:v>0</x:v>
      </x:c>
      <x:c r="P25" s="25" t="n">
        <x:f>IF(D25&lt;3,0,(N25-O25)/(((G25-F25)+(F25-E25))/2))</x:f>
        <x:v>0</x:v>
      </x:c>
      <x:c r="Q25" s="17" t="str">
        <x:f>IF(D25=0,"Ungraded — no normalized observation",IF(D25=1,"Flat — one observation",IF(D25=2,"Constant velocity — two observations","Velocity + acceleration — latest three observations")))</x:f>
        <x:v>Ungraded — no normalized observation</x:v>
      </x:c>
      <x:c r="R25" s="24" t="str">
        <x:f>IF(D25=0,"",J25)</x:f>
      </x:c>
      <x:c r="S25" s="17" t="str">
        <x:f>IF(R25="","N/A",IF(R25&gt;='Methodology'!$G$7,"A",IF(R25&gt;='Methodology'!$G$8,"B",IF(R25&gt;='Methodology'!$G$9,"C",IF(R25&gt;='Methodology'!$G$10,"D","F")))))</x:f>
        <x:v>N/A</x:v>
      </x:c>
      <x:c r="T25" s="26" t="str">
        <x:f>IF(R25="","",IF(R25&gt;='Methodology'!$G$7,'Methodology'!$H$7,IF(R25&gt;='Methodology'!$G$8,'Methodology'!$H$8,IF(R25&gt;='Methodology'!$G$9,'Methodology'!$H$9,IF(R25&gt;='Methodology'!$G$10,'Methodology'!$H$10,'Methodology'!$H$11)))))</x:f>
      </x:c>
      <x:c r="U25" s="27" t="n">
        <x:f>MIN(D25,3)</x:f>
        <x:v>0</x:v>
      </x:c>
    </x:row>
    <x:row r="26" ht="15" hidden="0" customHeight="1">
      <x:c r="A26" s="17" t="str">
        <x:v>VAL-02</x:v>
      </x:c>
      <x:c r="B26" s="17" t="str">
        <x:v>Remote Labor Index</x:v>
      </x:c>
      <x:c r="C26" s="17" t="str">
        <x:v>Economic value &amp; governance</x:v>
      </x:c>
      <x:c r="D26" s="17" t="n">
        <x:f>COUNTIF('Observations'!$A$6:$A$500,A26)</x:f>
        <x:v>4</x:v>
      </x:c>
      <x:c r="E26" s="17" t="n">
        <x:f>IF(D26&lt;3,"",MAXIFS('Observations'!$F$6:$F$500,'Observations'!$A$6:$A$500,A26,'Observations'!$F$6:$F$500,"&lt;"&amp;F26))</x:f>
        <x:v>8</x:v>
      </x:c>
      <x:c r="F26" s="17" t="n">
        <x:f>IF(D26&lt;2,"",MAXIFS('Observations'!$F$6:$F$500,'Observations'!$A$6:$A$500,A26,'Observations'!$F$6:$F$500,"&lt;"&amp;G26))</x:f>
        <x:v>9</x:v>
      </x:c>
      <x:c r="G26" s="17" t="n">
        <x:f>IF(D26=0,"",MAXIFS('Observations'!$F$6:$F$500,'Observations'!$A$6:$A$500,A26))</x:f>
        <x:v>10</x:v>
      </x:c>
      <x:c r="H26" s="24" t="n">
        <x:f>IF(E26="","",SUMIFS('Observations'!$G$6:$G$500,'Observations'!$A$6:$A$500,A26,'Observations'!$F$6:$F$500,E26))</x:f>
        <x:v>0.0375</x:v>
      </x:c>
      <x:c r="I26" s="24" t="n">
        <x:f>IF(F26="","",SUMIFS('Observations'!$G$6:$G$500,'Observations'!$A$6:$A$500,A26,'Observations'!$F$6:$F$500,F26))</x:f>
        <x:v>0.0417</x:v>
      </x:c>
      <x:c r="J26" s="24" t="n">
        <x:f>IF(G26="","",SUMIFS('Observations'!$G$6:$G$500,'Observations'!$A$6:$A$500,A26,'Observations'!$F$6:$F$500,G26))</x:f>
        <x:v>0.158</x:v>
      </x:c>
      <x:c r="K26" s="25" t="n">
        <x:f>IF(H26="","",IF(H26&gt;=1,30,-LN(1-H26)/LN(2)))</x:f>
        <x:v>0.05514155419246095</x:v>
      </x:c>
      <x:c r="L26" s="25" t="n">
        <x:f>IF(I26="","",IF(I26&gt;=1,30,-LN(1-I26)/LN(2)))</x:f>
        <x:v>0.06145072623394566</x:v>
      </x:c>
      <x:c r="M26" s="25" t="n">
        <x:f>IF(J26="","",IF(J26&gt;=1,30,-LN(1-J26)/LN(2)))</x:f>
        <x:v>0.24810786159569104</x:v>
      </x:c>
      <x:c r="N26" s="25" t="n">
        <x:f>IF(D26&lt;2,0,(M26-L26)/(G26-F26))</x:f>
        <x:v>0.18665713536174539</x:v>
      </x:c>
      <x:c r="O26" s="25" t="n">
        <x:f>IF(D26&lt;3,0,(L26-K26)/(F26-E26))</x:f>
        <x:v>0.006309172041484706</x:v>
      </x:c>
      <x:c r="P26" s="25" t="n">
        <x:f>IF(D26&lt;3,0,(N26-O26)/(((G26-F26)+(F26-E26))/2))</x:f>
        <x:v>0.18034796332026068</x:v>
      </x:c>
      <x:c r="Q26" s="17" t="str">
        <x:f>IF(D26=0,"Ungraded — no normalized observation",IF(D26=1,"Flat — one observation",IF(D26=2,"Constant velocity — two observations","Velocity + acceleration — latest three observations")))</x:f>
        <x:v>Velocity + acceleration — latest three observations</x:v>
      </x:c>
      <x:c r="R26" s="24" t="n">
        <x:f>IF(D26=0,"",J26)</x:f>
        <x:v>0.158</x:v>
      </x:c>
      <x:c r="S26" s="17" t="str">
        <x:f>IF(R26="","N/A",IF(R26&gt;='Methodology'!$G$7,"A",IF(R26&gt;='Methodology'!$G$8,"B",IF(R26&gt;='Methodology'!$G$9,"C",IF(R26&gt;='Methodology'!$G$10,"D","F")))))</x:f>
        <x:v>F</x:v>
      </x:c>
      <x:c r="T26" s="26" t="n">
        <x:f>IF(R26="","",IF(R26&gt;='Methodology'!$G$7,'Methodology'!$H$7,IF(R26&gt;='Methodology'!$G$8,'Methodology'!$H$8,IF(R26&gt;='Methodology'!$G$9,'Methodology'!$H$9,IF(R26&gt;='Methodology'!$G$10,'Methodology'!$H$10,'Methodology'!$H$11)))))</x:f>
        <x:v>0</x:v>
      </x:c>
      <x:c r="U26" s="27" t="n">
        <x:f>MIN(D26,3)</x:f>
        <x:v>3</x:v>
      </x:c>
    </x:row>
    <x:row r="27" ht="15" hidden="0" customHeight="1">
      <x:c r="A27" s="17" t="str">
        <x:v>VAL-03</x:v>
      </x:c>
      <x:c r="B27" s="17" t="str">
        <x:v>OmegaUse-OfficeVal</x:v>
      </x:c>
      <x:c r="C27" s="17" t="str">
        <x:v>Economic value &amp; governance</x:v>
      </x:c>
      <x:c r="D27" s="17" t="n">
        <x:f>COUNTIF('Observations'!$A$6:$A$500,A27)</x:f>
        <x:v>0</x:v>
      </x:c>
      <x:c r="E27" s="17" t="str">
        <x:f>IF(D27&lt;3,"",MAXIFS('Observations'!$F$6:$F$500,'Observations'!$A$6:$A$500,A27,'Observations'!$F$6:$F$500,"&lt;"&amp;F27))</x:f>
      </x:c>
      <x:c r="F27" s="17" t="str">
        <x:f>IF(D27&lt;2,"",MAXIFS('Observations'!$F$6:$F$500,'Observations'!$A$6:$A$500,A27,'Observations'!$F$6:$F$500,"&lt;"&amp;G27))</x:f>
      </x:c>
      <x:c r="G27" s="17" t="str">
        <x:f>IF(D27=0,"",MAXIFS('Observations'!$F$6:$F$500,'Observations'!$A$6:$A$500,A27))</x:f>
      </x:c>
      <x:c r="H27" s="24" t="str">
        <x:f>IF(E27="","",SUMIFS('Observations'!$G$6:$G$500,'Observations'!$A$6:$A$500,A27,'Observations'!$F$6:$F$500,E27))</x:f>
      </x:c>
      <x:c r="I27" s="24" t="str">
        <x:f>IF(F27="","",SUMIFS('Observations'!$G$6:$G$500,'Observations'!$A$6:$A$500,A27,'Observations'!$F$6:$F$500,F27))</x:f>
      </x:c>
      <x:c r="J27" s="24" t="str">
        <x:f>IF(G27="","",SUMIFS('Observations'!$G$6:$G$500,'Observations'!$A$6:$A$500,A27,'Observations'!$F$6:$F$500,G27))</x:f>
      </x:c>
      <x:c r="K27" s="25" t="str">
        <x:f>IF(H27="","",IF(H27&gt;=1,30,-LN(1-H27)/LN(2)))</x:f>
      </x:c>
      <x:c r="L27" s="25" t="str">
        <x:f>IF(I27="","",IF(I27&gt;=1,30,-LN(1-I27)/LN(2)))</x:f>
      </x:c>
      <x:c r="M27" s="25" t="str">
        <x:f>IF(J27="","",IF(J27&gt;=1,30,-LN(1-J27)/LN(2)))</x:f>
      </x:c>
      <x:c r="N27" s="25" t="n">
        <x:f>IF(D27&lt;2,0,(M27-L27)/(G27-F27))</x:f>
        <x:v>0</x:v>
      </x:c>
      <x:c r="O27" s="25" t="n">
        <x:f>IF(D27&lt;3,0,(L27-K27)/(F27-E27))</x:f>
        <x:v>0</x:v>
      </x:c>
      <x:c r="P27" s="25" t="n">
        <x:f>IF(D27&lt;3,0,(N27-O27)/(((G27-F27)+(F27-E27))/2))</x:f>
        <x:v>0</x:v>
      </x:c>
      <x:c r="Q27" s="17" t="str">
        <x:f>IF(D27=0,"Ungraded — no normalized observation",IF(D27=1,"Flat — one observation",IF(D27=2,"Constant velocity — two observations","Velocity + acceleration — latest three observations")))</x:f>
        <x:v>Ungraded — no normalized observation</x:v>
      </x:c>
      <x:c r="R27" s="24" t="str">
        <x:f>IF(D27=0,"",J27)</x:f>
      </x:c>
      <x:c r="S27" s="17" t="str">
        <x:f>IF(R27="","N/A",IF(R27&gt;='Methodology'!$G$7,"A",IF(R27&gt;='Methodology'!$G$8,"B",IF(R27&gt;='Methodology'!$G$9,"C",IF(R27&gt;='Methodology'!$G$10,"D","F")))))</x:f>
        <x:v>N/A</x:v>
      </x:c>
      <x:c r="T27" s="26" t="str">
        <x:f>IF(R27="","",IF(R27&gt;='Methodology'!$G$7,'Methodology'!$H$7,IF(R27&gt;='Methodology'!$G$8,'Methodology'!$H$8,IF(R27&gt;='Methodology'!$G$9,'Methodology'!$H$9,IF(R27&gt;='Methodology'!$G$10,'Methodology'!$H$10,'Methodology'!$H$11)))))</x:f>
      </x:c>
      <x:c r="U27" s="27" t="n">
        <x:f>MIN(D27,3)</x:f>
        <x:v>0</x:v>
      </x:c>
    </x:row>
    <x:row r="28" ht="15" hidden="0" customHeight="1">
      <x:c r="A28" s="17" t="str">
        <x:v>VAL-04</x:v>
      </x:c>
      <x:c r="B28" s="17" t="str">
        <x:v>Claw-Eval</x:v>
      </x:c>
      <x:c r="C28" s="17" t="str">
        <x:v>Economic value &amp; governance</x:v>
      </x:c>
      <x:c r="D28" s="17" t="n">
        <x:f>COUNTIF('Observations'!$A$6:$A$500,A28)</x:f>
        <x:v>1</x:v>
      </x:c>
      <x:c r="E28" s="17" t="str">
        <x:f>IF(D28&lt;3,"",MAXIFS('Observations'!$F$6:$F$500,'Observations'!$A$6:$A$500,A28,'Observations'!$F$6:$F$500,"&lt;"&amp;F28))</x:f>
      </x:c>
      <x:c r="F28" s="17" t="str">
        <x:f>IF(D28&lt;2,"",MAXIFS('Observations'!$F$6:$F$500,'Observations'!$A$6:$A$500,A28,'Observations'!$F$6:$F$500,"&lt;"&amp;G28))</x:f>
      </x:c>
      <x:c r="G28" s="17" t="n">
        <x:f>IF(D28=0,"",MAXIFS('Observations'!$F$6:$F$500,'Observations'!$A$6:$A$500,A28))</x:f>
        <x:v>9</x:v>
      </x:c>
      <x:c r="H28" s="24" t="str">
        <x:f>IF(E28="","",SUMIFS('Observations'!$G$6:$G$500,'Observations'!$A$6:$A$500,A28,'Observations'!$F$6:$F$500,E28))</x:f>
      </x:c>
      <x:c r="I28" s="24" t="str">
        <x:f>IF(F28="","",SUMIFS('Observations'!$G$6:$G$500,'Observations'!$A$6:$A$500,A28,'Observations'!$F$6:$F$500,F28))</x:f>
      </x:c>
      <x:c r="J28" s="24" t="n">
        <x:f>IF(G28="","",SUMIFS('Observations'!$G$6:$G$500,'Observations'!$A$6:$A$500,A28,'Observations'!$F$6:$F$500,G28))</x:f>
        <x:v>0.704</x:v>
      </x:c>
      <x:c r="K28" s="25" t="str">
        <x:f>IF(H28="","",IF(H28&gt;=1,30,-LN(1-H28)/LN(2)))</x:f>
      </x:c>
      <x:c r="L28" s="25" t="str">
        <x:f>IF(I28="","",IF(I28&gt;=1,30,-LN(1-I28)/LN(2)))</x:f>
      </x:c>
      <x:c r="M28" s="25" t="n">
        <x:f>IF(J28="","",IF(J28&gt;=1,30,-LN(1-J28)/LN(2)))</x:f>
        <x:v>1.756330919033137</x:v>
      </x:c>
      <x:c r="N28" s="25" t="n">
        <x:f>IF(D28&lt;2,0,(M28-L28)/(G28-F28))</x:f>
        <x:v>0</x:v>
      </x:c>
      <x:c r="O28" s="25" t="n">
        <x:f>IF(D28&lt;3,0,(L28-K28)/(F28-E28))</x:f>
        <x:v>0</x:v>
      </x:c>
      <x:c r="P28" s="25" t="n">
        <x:f>IF(D28&lt;3,0,(N28-O28)/(((G28-F28)+(F28-E28))/2))</x:f>
        <x:v>0</x:v>
      </x:c>
      <x:c r="Q28" s="17" t="str">
        <x:f>IF(D28=0,"Ungraded — no normalized observation",IF(D28=1,"Flat — one observation",IF(D28=2,"Constant velocity — two observations","Velocity + acceleration — latest three observations")))</x:f>
        <x:v>Flat — one observation</x:v>
      </x:c>
      <x:c r="R28" s="24" t="n">
        <x:f>IF(D28=0,"",J28)</x:f>
        <x:v>0.704</x:v>
      </x:c>
      <x:c r="S28" s="17" t="str">
        <x:f>IF(R28="","N/A",IF(R28&gt;='Methodology'!$G$7,"A",IF(R28&gt;='Methodology'!$G$8,"B",IF(R28&gt;='Methodology'!$G$9,"C",IF(R28&gt;='Methodology'!$G$10,"D","F")))))</x:f>
        <x:v>C</x:v>
      </x:c>
      <x:c r="T28" s="26" t="n">
        <x:f>IF(R28="","",IF(R28&gt;='Methodology'!$G$7,'Methodology'!$H$7,IF(R28&gt;='Methodology'!$G$8,'Methodology'!$H$8,IF(R28&gt;='Methodology'!$G$9,'Methodology'!$H$9,IF(R28&gt;='Methodology'!$G$10,'Methodology'!$H$10,'Methodology'!$H$11)))))</x:f>
        <x:v>2</x:v>
      </x:c>
      <x:c r="U28" s="27" t="n">
        <x:f>MIN(D28,3)</x:f>
        <x:v>1</x:v>
      </x:c>
    </x:row>
  </x:sheetData>
  <x:mergeCells>
    <x:mergeCell ref="A1:U2"/>
    <x:mergeCell ref="A3:U3"/>
  </x:mergeCells>
  <x:pageMargins left="0.7" right="0.7" top="0.75" bottom="0.75" header="0.3" footer="0.3"/>
  <x:tableParts count="1">
    <x:tablePart xmlns:r="http://schemas.openxmlformats.org/officeDocument/2006/relationships" r:id="Rfd8a9441e84f4d9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20" hidden="0" customWidth="1"/>
    <x:col min="4" max="4" width="44" hidden="0" customWidth="1"/>
    <x:col min="5" max="5" width="3" hidden="0" customWidth="1"/>
    <x:col min="6" max="6" width="16" hidden="0" customWidth="1"/>
    <x:col min="7" max="7" width="17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8" customHeight="1">
      <x:c r="A1" s="3" t="str">
        <x:v>Methodology — Four-Year Capability Report Card</x:v>
      </x:c>
      <x:c r="B1" s="3" t="str">
        <x:v>Methodology — Four-Year Capability Report Card</x:v>
      </x:c>
      <x:c r="C1" s="3" t="str">
        <x:v>Methodology — Four-Year Capability Report Card</x:v>
      </x:c>
      <x:c r="D1" s="3" t="str">
        <x:v>Methodology — Four-Year Capability Report Card</x:v>
      </x:c>
      <x:c r="E1" s="3" t="str">
        <x:v>Methodology — Four-Year Capability Report Card</x:v>
      </x:c>
      <x:c r="F1" s="3" t="str">
        <x:v>Methodology — Four-Year Capability Report Card</x:v>
      </x:c>
      <x:c r="G1" s="3" t="str">
        <x:v>Methodology — Four-Year Capability Report Card</x:v>
      </x:c>
      <x:c r="H1" s="3" t="str">
        <x:v>Methodology — Four-Year Capability Report Card</x:v>
      </x:c>
      <x:c r="I1" s="3" t="str">
        <x:v>Methodology — Four-Year Capability Report Card</x:v>
      </x:c>
      <x:c r="J1" s="3" t="str">
        <x:v>Methodology — Four-Year Capability Report Card</x:v>
      </x:c>
    </x:row>
    <x:row r="2" ht="28" customHeight="1">
      <x:c r="A2" s="3" t="str">
        <x:v>Methodology — Four-Year Capability Report Card</x:v>
      </x:c>
      <x:c r="B2" s="3" t="str">
        <x:v>Methodology — Four-Year Capability Report Card</x:v>
      </x:c>
      <x:c r="C2" s="3" t="str">
        <x:v>Methodology — Four-Year Capability Report Card</x:v>
      </x:c>
      <x:c r="D2" s="3" t="str">
        <x:v>Methodology — Four-Year Capability Report Card</x:v>
      </x:c>
      <x:c r="E2" s="3" t="str">
        <x:v>Methodology — Four-Year Capability Report Card</x:v>
      </x:c>
      <x:c r="F2" s="3" t="str">
        <x:v>Methodology — Four-Year Capability Report Card</x:v>
      </x:c>
      <x:c r="G2" s="3" t="str">
        <x:v>Methodology — Four-Year Capability Report Card</x:v>
      </x:c>
      <x:c r="H2" s="3" t="str">
        <x:v>Methodology — Four-Year Capability Report Card</x:v>
      </x:c>
      <x:c r="I2" s="3" t="str">
        <x:v>Methodology — Four-Year Capability Report Card</x:v>
      </x:c>
      <x:c r="J2" s="3" t="str">
        <x:v>Methodology — Four-Year Capability Report Card</x:v>
      </x:c>
    </x:row>
    <x:row r="3" ht="15" hidden="0" customHeight="1">
      <x:c r="A3" s="6" t="str">
        <x:v>Observed frontier scores are kept separate from carried values and projections. The forecast models system capability: model + harness + tools + budget.</x:v>
      </x:c>
      <x:c r="B3" s="6" t="str">
        <x:v>Observed frontier scores are kept separate from carried values and projections. The forecast models system capability: model + harness + tools + budget.</x:v>
      </x:c>
      <x:c r="C3" s="6" t="str">
        <x:v>Observed frontier scores are kept separate from carried values and projections. The forecast models system capability: model + harness + tools + budget.</x:v>
      </x:c>
      <x:c r="D3" s="6" t="str">
        <x:v>Observed frontier scores are kept separate from carried values and projections. The forecast models system capability: model + harness + tools + budget.</x:v>
      </x:c>
      <x:c r="E3" s="6" t="str">
        <x:v>Observed frontier scores are kept separate from carried values and projections. The forecast models system capability: model + harness + tools + budget.</x:v>
      </x:c>
      <x:c r="F3" s="6" t="str">
        <x:v>Observed frontier scores are kept separate from carried values and projections. The forecast models system capability: model + harness + tools + budget.</x:v>
      </x:c>
      <x:c r="G3" s="6" t="str">
        <x:v>Observed frontier scores are kept separate from carried values and projections. The forecast models system capability: model + harness + tools + budget.</x:v>
      </x:c>
      <x:c r="H3" s="6" t="str">
        <x:v>Observed frontier scores are kept separate from carried values and projections. The forecast models system capability: model + harness + tools + budget.</x:v>
      </x:c>
      <x:c r="I3" s="6" t="str">
        <x:v>Observed frontier scores are kept separate from carried values and projections. The forecast models system capability: model + harness + tools + budget.</x:v>
      </x:c>
      <x:c r="J3" s="6" t="str">
        <x:v>Observed frontier scores are kept separate from carried values and projections. The forecast models system capability: model + harness + tools + budget.</x:v>
      </x:c>
    </x:row>
    <x:row r="4"/>
    <x:row r="5" ht="15" hidden="0" customHeight="1">
      <x:c r="A5" s="9" t="str">
        <x:v>MODEL PARAMETERS</x:v>
      </x:c>
      <x:c r="B5" s="9" t="str">
        <x:v>MODEL PARAMETERS</x:v>
      </x:c>
      <x:c r="C5" s="9" t="str">
        <x:v>MODEL PARAMETERS</x:v>
      </x:c>
      <x:c r="D5" s="9" t="str">
        <x:v>MODEL PARAMETERS</x:v>
      </x:c>
      <x:c r="F5" s="9" t="str">
        <x:v>LETTER-GRADE SCALE</x:v>
      </x:c>
      <x:c r="G5" s="9" t="str">
        <x:v>LETTER-GRADE SCALE</x:v>
      </x:c>
      <x:c r="H5" s="9" t="str">
        <x:v>LETTER-GRADE SCALE</x:v>
      </x:c>
    </x:row>
    <x:row r="6" ht="15" hidden="0" customHeight="1">
      <x:c r="A6" s="13" t="str">
        <x:v>Parameter</x:v>
      </x:c>
      <x:c r="B6" s="13" t="str">
        <x:v>Value</x:v>
      </x:c>
      <x:c r="C6" s="13" t="str">
        <x:v>Unit</x:v>
      </x:c>
      <x:c r="D6" s="13" t="str">
        <x:v>Rule</x:v>
      </x:c>
      <x:c r="F6" s="13" t="str">
        <x:v>Letter</x:v>
      </x:c>
      <x:c r="G6" s="13" t="str">
        <x:v>Minimum score</x:v>
      </x:c>
      <x:c r="H6" s="13" t="str">
        <x:v>Grade points</x:v>
      </x:c>
    </x:row>
    <x:row r="7" ht="15" hidden="0" customHeight="1">
      <x:c r="A7" s="17" t="str">
        <x:v>As-of date</x:v>
      </x:c>
      <x:c r="B7" s="18" t="n">
        <x:v>46260</x:v>
      </x:c>
      <x:c r="C7" s="17" t="str">
        <x:v>date</x:v>
      </x:c>
      <x:c r="D7" s="17" t="str">
        <x:v>Current report cutoff</x:v>
      </x:c>
      <x:c r="F7" s="17" t="str">
        <x:v>A</x:v>
      </x:c>
      <x:c r="G7" s="19" t="n">
        <x:v>0.9</x:v>
      </x:c>
      <x:c r="H7" s="17" t="n">
        <x:v>4</x:v>
      </x:c>
    </x:row>
    <x:row r="8" ht="15" hidden="0" customHeight="1">
      <x:c r="A8" s="17" t="str">
        <x:v>Current quarter index</x:v>
      </x:c>
      <x:c r="B8" s="17" t="n">
        <x:v>11</x:v>
      </x:c>
      <x:c r="C8" s="17" t="str">
        <x:v>quarter</x:v>
      </x:c>
      <x:c r="D8" s="17" t="str">
        <x:v>2024-Q1 = 1; 2026-Q3 = 11</x:v>
      </x:c>
      <x:c r="F8" s="17" t="str">
        <x:v>B</x:v>
      </x:c>
      <x:c r="G8" s="19" t="n">
        <x:v>0.8</x:v>
      </x:c>
      <x:c r="H8" s="17" t="n">
        <x:v>3</x:v>
      </x:c>
    </x:row>
    <x:row r="9" ht="15" hidden="0" customHeight="1">
      <x:c r="A9" s="17" t="str">
        <x:v>First forecast quarter</x:v>
      </x:c>
      <x:c r="B9" s="17" t="n">
        <x:v>12</x:v>
      </x:c>
      <x:c r="C9" s="17" t="str">
        <x:v>quarter</x:v>
      </x:c>
      <x:c r="D9" s="17" t="str">
        <x:v>2026-Q4</x:v>
      </x:c>
      <x:c r="F9" s="17" t="str">
        <x:v>C</x:v>
      </x:c>
      <x:c r="G9" s="19" t="n">
        <x:v>0.7</x:v>
      </x:c>
      <x:c r="H9" s="17" t="n">
        <x:v>2</x:v>
      </x:c>
    </x:row>
    <x:row r="10" ht="15" hidden="0" customHeight="1">
      <x:c r="A10" s="17" t="str">
        <x:v>Projection horizon</x:v>
      </x:c>
      <x:c r="B10" s="17" t="n">
        <x:v>20</x:v>
      </x:c>
      <x:c r="C10" s="17" t="str">
        <x:v>quarter</x:v>
      </x:c>
      <x:c r="D10" s="17" t="str">
        <x:v>Ends 2028-Q4</x:v>
      </x:c>
      <x:c r="F10" s="17" t="str">
        <x:v>D</x:v>
      </x:c>
      <x:c r="G10" s="19" t="n">
        <x:v>0.6</x:v>
      </x:c>
      <x:c r="H10" s="17" t="n">
        <x:v>1</x:v>
      </x:c>
    </x:row>
    <x:row r="11" ht="15" hidden="0" customHeight="1">
      <x:c r="A11" s="17" t="str">
        <x:v>Projection transform</x:v>
      </x:c>
      <x:c r="B11" s="17" t="str">
        <x:v>-LOG2(1-score)</x:v>
      </x:c>
      <x:c r="C11" s="17" t="str">
        <x:v>failure-gap halvings</x:v>
      </x:c>
      <x:c r="D11" s="17" t="str">
        <x:v>One unit means the remaining gap to 100% is halved</x:v>
      </x:c>
      <x:c r="F11" s="17" t="str">
        <x:v>F</x:v>
      </x:c>
      <x:c r="G11" s="19" t="n">
        <x:v>0</x:v>
      </x:c>
      <x:c r="H11" s="17" t="n">
        <x:v>0</x:v>
      </x:c>
    </x:row>
    <x:row r="12" ht="15" hidden="0" customHeight="1">
      <x:c r="A12" s="17" t="str">
        <x:v>Monotonic frontier floor</x:v>
      </x:c>
      <x:c r="B12" s="17" t="str">
        <x:v>Enabled</x:v>
      </x:c>
      <x:c r="C12" s="17" t="str">
        <x:v>rule</x:v>
      </x:c>
      <x:c r="D12" s="17" t="str">
        <x:v>Forecast cannot fall below the current frontier</x:v>
      </x:c>
    </x:row>
    <x:row r="13" ht="21.600000381469727" hidden="0" customHeight="1">
      <x:c r="A13" s="17" t="str">
        <x:v>Missing-history rule</x:v>
      </x:c>
      <x:c r="B13" s="17" t="str">
        <x:v>Blank</x:v>
      </x:c>
      <x:c r="C13" s="17" t="str">
        <x:v>rule</x:v>
      </x:c>
      <x:c r="D13" s="17" t="str">
        <x:v>No score is fabricated before release or without a normalized observation</x:v>
      </x:c>
    </x:row>
    <x:row r="14" ht="21.600000381469727" hidden="0" customHeight="1">
      <x:c r="A14" s="17" t="str">
        <x:v>Acceleration summary</x:v>
      </x:c>
      <x:c r="B14" s="17" t="str">
        <x:v>Observed series only</x:v>
      </x:c>
      <x:c r="C14" s="17" t="str">
        <x:v>rule</x:v>
      </x:c>
      <x:c r="D14" s="17" t="str">
        <x:v>Average 3+ point acceleration estimates; coverage is reported separately</x:v>
      </x:c>
    </x:row>
    <x:row r="15" ht="15" hidden="0" customHeight="1">
      <x:c r="A15" s="9" t="str">
        <x:v>FORECAST EQUATIONS AND INTERPRETATION</x:v>
      </x:c>
      <x:c r="B15" s="9" t="str">
        <x:v>FORECAST EQUATIONS AND INTERPRETATION</x:v>
      </x:c>
      <x:c r="C15" s="9" t="str">
        <x:v>FORECAST EQUATIONS AND INTERPRETATION</x:v>
      </x:c>
      <x:c r="D15" s="9" t="str">
        <x:v>FORECAST EQUATIONS AND INTERPRETATION</x:v>
      </x:c>
      <x:c r="E15" s="9" t="str">
        <x:v>FORECAST EQUATIONS AND INTERPRETATION</x:v>
      </x:c>
      <x:c r="F15" s="9" t="str">
        <x:v>FORECAST EQUATIONS AND INTERPRETATION</x:v>
      </x:c>
      <x:c r="G15" s="9" t="str">
        <x:v>FORECAST EQUATIONS AND INTERPRETATION</x:v>
      </x:c>
      <x:c r="H15" s="9" t="str">
        <x:v>FORECAST EQUATIONS AND INTERPRETATION</x:v>
      </x:c>
      <x:c r="I15" s="9" t="str">
        <x:v>FORECAST EQUATIONS AND INTERPRETATION</x:v>
      </x:c>
      <x:c r="J15" s="9" t="str">
        <x:v>FORECAST EQUATIONS AND INTERPRETATION</x:v>
      </x:c>
    </x:row>
    <x:row r="16" ht="38" hidden="0" customHeight="1">
      <x:c r="A16" s="13" t="str">
        <x:v>Object</x:v>
      </x:c>
      <x:c r="B16" s="13" t="str">
        <x:v>Equation / rule</x:v>
      </x:c>
      <x:c r="C16" s="13" t="str">
        <x:v>Interpretation</x:v>
      </x:c>
      <x:c r="D16" s="13"/>
      <x:c r="E16" s="13"/>
      <x:c r="F16" s="13"/>
      <x:c r="G16" s="13"/>
      <x:c r="H16" s="13"/>
      <x:c r="I16" s="13"/>
      <x:c r="J16" s="13"/>
    </x:row>
    <x:row r="17" ht="38" hidden="0" customHeight="1">
      <x:c r="A17" s="17" t="str">
        <x:v>Depth</x:v>
      </x:c>
      <x:c r="B17" s="17" t="str">
        <x:v>d = -LOG2(1 - score)</x:v>
      </x:c>
      <x:c r="C17" s="17" t="str">
        <x:v>Transforms a bounded percentage into halvings of the remaining failure gap. Exact 100% is represented as 30 halvings for finite computation.</x:v>
      </x:c>
      <x:c r="D17" s="17"/>
      <x:c r="E17" s="17"/>
      <x:c r="F17" s="17"/>
      <x:c r="G17" s="17"/>
      <x:c r="H17" s="17"/>
      <x:c r="I17" s="17"/>
      <x:c r="J17" s="17"/>
    </x:row>
    <x:row r="18" ht="38" hidden="0" customHeight="1">
      <x:c r="A18" s="17" t="str">
        <x:v>Velocity</x:v>
      </x:c>
      <x:c r="B18" s="17" t="str">
        <x:v>v = (d_t - d_t-1) / elapsed quarters</x:v>
      </x:c>
      <x:c r="C18" s="17" t="str">
        <x:v>First derivative of failure-gap depth. Report-card Δ score cells separately show quarter-over-quarter percentage-point changes.</x:v>
      </x:c>
      <x:c r="D18" s="17"/>
      <x:c r="E18" s="17"/>
      <x:c r="F18" s="17"/>
      <x:c r="G18" s="17"/>
      <x:c r="H18" s="17"/>
      <x:c r="I18" s="17"/>
      <x:c r="J18" s="17"/>
    </x:row>
    <x:row r="19" ht="38" hidden="0" customHeight="1">
      <x:c r="A19" s="17" t="str">
        <x:v>Acceleration</x:v>
      </x:c>
      <x:c r="B19" s="17" t="str">
        <x:v>a = (v_recent - v_prior) / average interval</x:v>
      </x:c>
      <x:c r="C19" s="17" t="str">
        <x:v>Second derivative: whether gap-closing speed is rising or falling.</x:v>
      </x:c>
      <x:c r="D19" s="17"/>
      <x:c r="E19" s="17"/>
      <x:c r="F19" s="17"/>
      <x:c r="G19" s="17"/>
      <x:c r="H19" s="17"/>
      <x:c r="I19" s="17"/>
      <x:c r="J19" s="17"/>
    </x:row>
    <x:row r="20" ht="38" hidden="0" customHeight="1">
      <x:c r="A20" s="17" t="str">
        <x:v>Projection</x:v>
      </x:c>
      <x:c r="B20" s="17" t="str">
        <x:v>d(h) = MAX(d_now, d_now + v·h + 0.5·a·h²)</x:v>
      </x:c>
      <x:c r="C20" s="17" t="str">
        <x:v>A monotonic frontier forecast; negative acceleration can flatten but not reverse capability.</x:v>
      </x:c>
      <x:c r="D20" s="17"/>
      <x:c r="E20" s="17"/>
      <x:c r="F20" s="17"/>
      <x:c r="G20" s="17"/>
      <x:c r="H20" s="17"/>
      <x:c r="I20" s="17"/>
      <x:c r="J20" s="17"/>
    </x:row>
    <x:row r="21" ht="38" hidden="0" customHeight="1">
      <x:c r="A21" s="17" t="str">
        <x:v>Back-transform</x:v>
      </x:c>
      <x:c r="B21" s="17" t="str">
        <x:v>score(h) = 1 - 2^(-d(h))</x:v>
      </x:c>
      <x:c r="C21" s="17" t="str">
        <x:v>Approaches 100% asymptotically rather than overshooting it.</x:v>
      </x:c>
      <x:c r="D21" s="17"/>
      <x:c r="E21" s="17"/>
      <x:c r="F21" s="17"/>
      <x:c r="G21" s="17"/>
      <x:c r="H21" s="17"/>
      <x:c r="I21" s="17"/>
      <x:c r="J21" s="17"/>
    </x:row>
    <x:row r="22" ht="38" hidden="0" customHeight="1">
      <x:c r="A22" s="17" t="str">
        <x:v>Evidence count</x:v>
      </x:c>
      <x:c r="B22" s="17" t="str">
        <x:v>3+ points: v + a; 2 points: v only; 1 point: flat; 0 points: blank</x:v>
      </x:c>
      <x:c r="C22" s="17" t="str">
        <x:v>Forecast strength is visible instead of disguised by a single smooth curve.</x:v>
      </x:c>
      <x:c r="D22" s="17"/>
      <x:c r="E22" s="17"/>
      <x:c r="F22" s="17"/>
      <x:c r="G22" s="17"/>
      <x:c r="H22" s="17"/>
      <x:c r="I22" s="17"/>
      <x:c r="J22" s="17"/>
    </x:row>
    <x:row r="23"/>
    <x:row r="24" ht="15" hidden="0" customHeight="1">
      <x:c r="A24" s="9" t="str">
        <x:v>NORMALIZATION RULES</x:v>
      </x:c>
      <x:c r="B24" s="9" t="str">
        <x:v>NORMALIZATION RULES</x:v>
      </x:c>
      <x:c r="C24" s="9" t="str">
        <x:v>NORMALIZATION RULES</x:v>
      </x:c>
      <x:c r="D24" s="9" t="str">
        <x:v>NORMALIZATION RULES</x:v>
      </x:c>
      <x:c r="E24" s="9" t="str">
        <x:v>NORMALIZATION RULES</x:v>
      </x:c>
      <x:c r="F24" s="9" t="str">
        <x:v>NORMALIZATION RULES</x:v>
      </x:c>
      <x:c r="G24" s="9" t="str">
        <x:v>NORMALIZATION RULES</x:v>
      </x:c>
      <x:c r="H24" s="9" t="str">
        <x:v>NORMALIZATION RULES</x:v>
      </x:c>
      <x:c r="I24" s="9" t="str">
        <x:v>NORMALIZATION RULES</x:v>
      </x:c>
      <x:c r="J24" s="9" t="str">
        <x:v>NORMALIZATION RULES</x:v>
      </x:c>
    </x:row>
    <x:row r="25" ht="38" hidden="0" customHeight="1">
      <x:c r="A25" s="13" t="str">
        <x:v>Metric type</x:v>
      </x:c>
      <x:c r="B25" s="13" t="str">
        <x:v>Conversion to 0–100%</x:v>
      </x:c>
      <x:c r="C25" s="13"/>
      <x:c r="D25" s="13"/>
      <x:c r="E25" s="13"/>
      <x:c r="F25" s="13"/>
      <x:c r="G25" s="13"/>
      <x:c r="H25" s="13"/>
      <x:c r="I25" s="13"/>
      <x:c r="J25" s="13"/>
    </x:row>
    <x:row r="26" ht="38" hidden="0" customHeight="1">
      <x:c r="A26" s="17" t="str">
        <x:v>Native percentage</x:v>
      </x:c>
      <x:c r="B26" s="17" t="str">
        <x:v>Use the strict pass, completion, survival, or rubric score as published; pin the benchmark and evaluation configuration.</x:v>
      </x:c>
      <x:c r="C26" s="17"/>
      <x:c r="D26" s="17"/>
      <x:c r="E26" s="17"/>
      <x:c r="F26" s="17"/>
      <x:c r="G26" s="17"/>
      <x:c r="H26" s="17"/>
      <x:c r="I26" s="17"/>
      <x:c r="J26" s="17"/>
    </x:row>
    <x:row r="27" ht="38" hidden="0" customHeight="1">
      <x:c r="A27" s="17" t="str">
        <x:v>Terminal money</x:v>
      </x:c>
      <x:c r="B27" s="17" t="str">
        <x:v>Frontier terminal outcome ÷ a fixed published target, human result, expert strategy, or oracle result; cap at 100%.</x:v>
      </x:c>
      <x:c r="C27" s="17"/>
      <x:c r="D27" s="17"/>
      <x:c r="E27" s="17"/>
      <x:c r="F27" s="17"/>
      <x:c r="G27" s="17"/>
      <x:c r="H27" s="17"/>
      <x:c r="I27" s="17"/>
      <x:c r="J27" s="17"/>
    </x:row>
    <x:row r="28" ht="38" hidden="0" customHeight="1">
      <x:c r="A28" s="17" t="str">
        <x:v>Target-only money</x:v>
      </x:c>
      <x:c r="B28" s="17" t="str">
        <x:v>If no human/oracle result exists, a source-published success target may be used provisionally and must be labeled when saturated.</x:v>
      </x:c>
      <x:c r="C28" s="17"/>
      <x:c r="D28" s="17"/>
      <x:c r="E28" s="17"/>
      <x:c r="F28" s="17"/>
      <x:c r="G28" s="17"/>
      <x:c r="H28" s="17"/>
      <x:c r="I28" s="17"/>
      <x:c r="J28" s="17"/>
    </x:row>
    <x:row r="29" ht="38" hidden="0" customHeight="1">
      <x:c r="A29" s="17" t="str">
        <x:v>Elo</x:v>
      </x:c>
      <x:c r="B29" s="17" t="str">
        <x:v>Convert to win probability against a fixed named anchor: p = 1 / (1 + 10^((R_anchor − R_system)/400)). Never min–max a changing leaderboard.</x:v>
      </x:c>
      <x:c r="C29" s="17"/>
      <x:c r="D29" s="17"/>
      <x:c r="E29" s="17"/>
      <x:c r="F29" s="17"/>
      <x:c r="G29" s="17"/>
      <x:c r="H29" s="17"/>
      <x:c r="I29" s="17"/>
      <x:c r="J29" s="17"/>
    </x:row>
    <x:row r="30" ht="38" hidden="0" customHeight="1">
      <x:c r="A30" s="17" t="str">
        <x:v>Guardrail</x:v>
      </x:c>
      <x:c r="B30" s="17" t="str">
        <x:v>Do not mix ratios to different anchors in one series. A changed task, harness, judge, budget, or anchor is a documented series break.</x:v>
      </x:c>
      <x:c r="C30" s="17"/>
      <x:c r="D30" s="17"/>
      <x:c r="E30" s="17"/>
      <x:c r="F30" s="17"/>
      <x:c r="G30" s="17"/>
      <x:c r="H30" s="17"/>
      <x:c r="I30" s="17"/>
      <x:c r="J30" s="17"/>
    </x:row>
    <x:row r="31"/>
    <x:row r="32" ht="15" hidden="0" customHeight="1">
      <x:c r="A32" s="9" t="str">
        <x:v>COMPOSITE &amp; CONFIDENCE RULES</x:v>
      </x:c>
      <x:c r="B32" s="9" t="str">
        <x:v>COMPOSITE &amp; CONFIDENCE RULES</x:v>
      </x:c>
      <x:c r="C32" s="9" t="str">
        <x:v>COMPOSITE &amp; CONFIDENCE RULES</x:v>
      </x:c>
      <x:c r="D32" s="9" t="str">
        <x:v>COMPOSITE &amp; CONFIDENCE RULES</x:v>
      </x:c>
      <x:c r="E32" s="9" t="str">
        <x:v>COMPOSITE &amp; CONFIDENCE RULES</x:v>
      </x:c>
      <x:c r="F32" s="9" t="str">
        <x:v>COMPOSITE &amp; CONFIDENCE RULES</x:v>
      </x:c>
      <x:c r="G32" s="9" t="str">
        <x:v>COMPOSITE &amp; CONFIDENCE RULES</x:v>
      </x:c>
      <x:c r="H32" s="9" t="str">
        <x:v>COMPOSITE &amp; CONFIDENCE RULES</x:v>
      </x:c>
      <x:c r="I32" s="9" t="str">
        <x:v>COMPOSITE &amp; CONFIDENCE RULES</x:v>
      </x:c>
      <x:c r="J32" s="9" t="str">
        <x:v>COMPOSITE &amp; CONFIDENCE RULES</x:v>
      </x:c>
    </x:row>
    <x:row r="33" ht="34" hidden="0" customHeight="1">
      <x:c r="A33" s="13" t="str">
        <x:v>Rule</x:v>
      </x:c>
      <x:c r="B33" s="13" t="str">
        <x:v>Definition</x:v>
      </x:c>
      <x:c r="C33" s="13"/>
      <x:c r="D33" s="13"/>
      <x:c r="E33" s="13"/>
      <x:c r="F33" s="13"/>
      <x:c r="G33" s="13"/>
      <x:c r="H33" s="13"/>
      <x:c r="I33" s="13"/>
      <x:c r="J33" s="13"/>
    </x:row>
    <x:row r="34" ht="34" hidden="0" customHeight="1">
      <x:c r="A34" s="17" t="str">
        <x:v>Current benchmark grade</x:v>
      </x:c>
      <x:c r="B34" s="17" t="str">
        <x:v>Latest observed frontier carried to 2026-Q3; A ≥90%, B ≥80%, C ≥70%, D ≥60%, F &lt;60%.</x:v>
      </x:c>
      <x:c r="C34" s="17"/>
      <x:c r="D34" s="17"/>
      <x:c r="E34" s="17"/>
      <x:c r="F34" s="17"/>
      <x:c r="G34" s="17"/>
      <x:c r="H34" s="17"/>
      <x:c r="I34" s="17"/>
      <x:c r="J34" s="17"/>
    </x:row>
    <x:row r="35" ht="34" hidden="0" customHeight="1">
      <x:c r="A35" s="17" t="str">
        <x:v>Benchmark GPA</x:v>
      </x:c>
      <x:c r="B35" s="17" t="str">
        <x:v>A=4, B=3, C=2, D=1, F=0. Ungraded benchmarks are excluded, not assigned zero.</x:v>
      </x:c>
      <x:c r="C35" s="17"/>
      <x:c r="D35" s="17"/>
      <x:c r="E35" s="17"/>
      <x:c r="F35" s="17"/>
      <x:c r="G35" s="17"/>
      <x:c r="H35" s="17"/>
      <x:c r="I35" s="17"/>
      <x:c r="J35" s="17"/>
    </x:row>
    <x:row r="36" ht="34" hidden="0" customHeight="1">
      <x:c r="A36" s="17" t="str">
        <x:v>Category GPA</x:v>
      </x:c>
      <x:c r="B36" s="17" t="str">
        <x:v>Mean GPA of graded benchmarks within the category.</x:v>
      </x:c>
      <x:c r="C36" s="17"/>
      <x:c r="D36" s="17"/>
      <x:c r="E36" s="17"/>
      <x:c r="F36" s="17"/>
      <x:c r="G36" s="17"/>
      <x:c r="H36" s="17"/>
      <x:c r="I36" s="17"/>
      <x:c r="J36" s="17"/>
    </x:row>
    <x:row r="37" ht="34" hidden="0" customHeight="1">
      <x:c r="A37" s="17" t="str">
        <x:v>Evidence credits</x:v>
      </x:c>
      <x:c r="B37" s="17" t="str">
        <x:v>Each benchmark earns one credit per distinct quarterly observation, capped at three. Ungraded or unobserved benchmarks earn zero.</x:v>
      </x:c>
      <x:c r="C37" s="17"/>
      <x:c r="D37" s="17"/>
      <x:c r="E37" s="17"/>
      <x:c r="F37" s="17"/>
      <x:c r="G37" s="17"/>
      <x:c r="H37" s="17"/>
      <x:c r="I37" s="17"/>
      <x:c r="J37" s="17"/>
    </x:row>
    <x:row r="38" ht="34" hidden="0" customHeight="1">
      <x:c r="A38" s="17" t="str">
        <x:v>Confidence weight</x:v>
      </x:c>
      <x:c r="B38" s="17" t="str">
        <x:v>Category evidence credits ÷ (3 × cataloged benchmarks in the category). This continuous 0–100% weight captures coverage and longitudinal depth.</x:v>
      </x:c>
      <x:c r="C38" s="17"/>
      <x:c r="D38" s="17"/>
      <x:c r="E38" s="17"/>
      <x:c r="F38" s="17"/>
      <x:c r="G38" s="17"/>
      <x:c r="H38" s="17"/>
      <x:c r="I38" s="17"/>
      <x:c r="J38" s="17"/>
    </x:row>
    <x:row r="39" ht="34" hidden="0" customHeight="1">
      <x:c r="A39" s="17" t="str">
        <x:v>Confidence label</x:v>
      </x:c>
      <x:c r="B39" s="17" t="str">
        <x:v>High ≥80%; Medium ≥50%; Low &lt;50%. The label summarizes the continuous weight used in the model.</x:v>
      </x:c>
      <x:c r="C39" s="17"/>
      <x:c r="D39" s="17"/>
      <x:c r="E39" s="17"/>
      <x:c r="F39" s="17"/>
      <x:c r="G39" s="17"/>
      <x:c r="H39" s="17"/>
      <x:c r="I39" s="17"/>
      <x:c r="J39" s="17"/>
    </x:row>
    <x:row r="40" ht="34" hidden="0" customHeight="1">
      <x:c r="A40" s="17" t="str">
        <x:v>Overall GPA</x:v>
      </x:c>
      <x:c r="B40" s="17" t="str">
        <x:v>Confidence-weighted mean of the four category GPAs, so sparse categories exert less influence without disappearing.</x:v>
      </x:c>
      <x:c r="C40" s="17"/>
      <x:c r="D40" s="17"/>
      <x:c r="E40" s="17"/>
      <x:c r="F40" s="17"/>
      <x:c r="G40" s="17"/>
      <x:c r="H40" s="17"/>
      <x:c r="I40" s="17"/>
      <x:c r="J40" s="17"/>
    </x:row>
    <x:row r="41" ht="34" hidden="0" customHeight="1">
      <x:c r="A41" s="17" t="str">
        <x:v>Overall score</x:v>
      </x:c>
      <x:c r="B41" s="17" t="str">
        <x:v>Confidence-weighted mean of category scores after every benchmark has been normalized to 0–100% completion/saturation.</x:v>
      </x:c>
      <x:c r="C41" s="17"/>
      <x:c r="D41" s="17"/>
      <x:c r="E41" s="17"/>
      <x:c r="F41" s="17"/>
      <x:c r="G41" s="17"/>
      <x:c r="H41" s="17"/>
      <x:c r="I41" s="17"/>
      <x:c r="J41" s="17"/>
    </x:row>
    <x:row r="42"/>
    <x:row r="43" ht="15" hidden="0" customHeight="1">
      <x:c r="A43" s="9" t="str">
        <x:v>UPDATE PROTOCOL</x:v>
      </x:c>
      <x:c r="B43" s="9" t="str">
        <x:v>UPDATE PROTOCOL</x:v>
      </x:c>
      <x:c r="C43" s="9" t="str">
        <x:v>UPDATE PROTOCOL</x:v>
      </x:c>
      <x:c r="D43" s="9" t="str">
        <x:v>UPDATE PROTOCOL</x:v>
      </x:c>
      <x:c r="E43" s="9" t="str">
        <x:v>UPDATE PROTOCOL</x:v>
      </x:c>
      <x:c r="F43" s="9" t="str">
        <x:v>UPDATE PROTOCOL</x:v>
      </x:c>
      <x:c r="G43" s="9" t="str">
        <x:v>UPDATE PROTOCOL</x:v>
      </x:c>
      <x:c r="H43" s="9" t="str">
        <x:v>UPDATE PROTOCOL</x:v>
      </x:c>
      <x:c r="I43" s="9" t="str">
        <x:v>UPDATE PROTOCOL</x:v>
      </x:c>
      <x:c r="J43" s="9" t="str">
        <x:v>UPDATE PROTOCOL</x:v>
      </x:c>
    </x:row>
    <x:row r="44" ht="34" hidden="0" customHeight="1">
      <x:c r="A44" s="23" t="str">
        <x:v>1</x:v>
      </x:c>
      <x:c r="B44" s="17" t="str">
        <x:v>Append one row to Observations for each new comparable benchmark result; keep benchmark ID and quarter index intact.</x:v>
      </x:c>
      <x:c r="C44" s="17"/>
      <x:c r="D44" s="17"/>
      <x:c r="E44" s="17"/>
      <x:c r="F44" s="17"/>
      <x:c r="G44" s="17"/>
      <x:c r="H44" s="17"/>
      <x:c r="I44" s="17"/>
      <x:c r="J44" s="17"/>
    </x:row>
    <x:row r="45" ht="34" hidden="0" customHeight="1">
      <x:c r="A45" s="23" t="str">
        <x:v>2</x:v>
      </x:c>
      <x:c r="B45" s="17" t="str">
        <x:v>Use the release quarter, not the date the analyst happened to discover the result. Keep only the quarter frontier for a fixed benchmark/harness definition.</x:v>
      </x:c>
      <x:c r="C45" s="17"/>
      <x:c r="D45" s="17"/>
      <x:c r="E45" s="17"/>
      <x:c r="F45" s="17"/>
      <x:c r="G45" s="17"/>
      <x:c r="H45" s="17"/>
      <x:c r="I45" s="17"/>
      <x:c r="J45" s="17"/>
    </x:row>
    <x:row r="46" ht="34" hidden="0" customHeight="1">
      <x:c r="A46" s="23" t="str">
        <x:v>3</x:v>
      </x:c>
      <x:c r="B46" s="17" t="str">
        <x:v>If the task set, harness, judge, retry policy, tools, or budget changes, describe the break in Notes and decide whether the row belongs in the same series.</x:v>
      </x:c>
      <x:c r="C46" s="17"/>
      <x:c r="D46" s="17"/>
      <x:c r="E46" s="17"/>
      <x:c r="F46" s="17"/>
      <x:c r="G46" s="17"/>
      <x:c r="H46" s="17"/>
      <x:c r="I46" s="17"/>
      <x:c r="J46" s="17"/>
    </x:row>
    <x:row r="47" ht="34" hidden="0" customHeight="1">
      <x:c r="A47" s="23" t="str">
        <x:v>4</x:v>
      </x:c>
      <x:c r="B47" s="17" t="str">
        <x:v>Add new benchmarks to Catalog and Report Card only when their metric can be normalized without an arbitrary denominator.</x:v>
      </x:c>
      <x:c r="C47" s="17"/>
      <x:c r="D47" s="17"/>
      <x:c r="E47" s="17"/>
      <x:c r="F47" s="17"/>
      <x:c r="G47" s="17"/>
      <x:c r="H47" s="17"/>
      <x:c r="I47" s="17"/>
      <x:c r="J47" s="17"/>
    </x:row>
    <x:row r="48" ht="34" hidden="0" customHeight="1">
      <x:c r="A48" s="23" t="str">
        <x:v>5</x:v>
      </x:c>
      <x:c r="B48" s="17" t="str">
        <x:v>Refresh sources and inspect projected saturation. A projection is a scenario extrapolation, not a probability distribution.</x:v>
      </x:c>
      <x:c r="C48" s="17"/>
      <x:c r="D48" s="17"/>
      <x:c r="E48" s="17"/>
      <x:c r="F48" s="17"/>
      <x:c r="G48" s="17"/>
      <x:c r="H48" s="17"/>
      <x:c r="I48" s="17"/>
      <x:c r="J48" s="17"/>
    </x:row>
  </x:sheetData>
  <x:mergeCells>
    <x:mergeCell ref="A1:J2"/>
    <x:mergeCell ref="A3:J3"/>
    <x:mergeCell ref="A5:D5"/>
    <x:mergeCell ref="F5:H5"/>
    <x:mergeCell ref="A15:J15"/>
    <x:mergeCell ref="C16:J16"/>
    <x:mergeCell ref="C17:J17"/>
    <x:mergeCell ref="C18:J18"/>
    <x:mergeCell ref="C19:J19"/>
    <x:mergeCell ref="C20:J20"/>
    <x:mergeCell ref="C21:J21"/>
    <x:mergeCell ref="C22:J22"/>
    <x:mergeCell ref="A24:J24"/>
    <x:mergeCell ref="B25:J25"/>
    <x:mergeCell ref="B26:J26"/>
    <x:mergeCell ref="B27:J27"/>
    <x:mergeCell ref="B28:J28"/>
    <x:mergeCell ref="B29:J29"/>
    <x:mergeCell ref="B30:J30"/>
    <x:mergeCell ref="A32:J32"/>
    <x:mergeCell ref="B33:J33"/>
    <x:mergeCell ref="B34:J34"/>
    <x:mergeCell ref="B35:J35"/>
    <x:mergeCell ref="B36:J36"/>
    <x:mergeCell ref="B37:J37"/>
    <x:mergeCell ref="B38:J38"/>
    <x:mergeCell ref="B39:J39"/>
    <x:mergeCell ref="B40:J40"/>
    <x:mergeCell ref="B41:J41"/>
    <x:mergeCell ref="A43:J43"/>
    <x:mergeCell ref="B44:J44"/>
    <x:mergeCell ref="B45:J45"/>
    <x:mergeCell ref="B46:J46"/>
    <x:mergeCell ref="B47:J47"/>
    <x:mergeCell ref="B48:J48"/>
  </x:mergeCells>
  <x:pageMargins left="0.7" right="0.7" top="0.75" bottom="0.75" header="0.3" footer="0.3"/>
</x:worksheet>
</file>