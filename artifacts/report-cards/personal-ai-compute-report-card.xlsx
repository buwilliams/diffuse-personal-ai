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80c45ae16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f06cd4a38f464c"/>
    <x:sheet xmlns:r="http://schemas.openxmlformats.org/officeDocument/2006/relationships" name="Quarterly Model" sheetId="2" r:id="Rc6caa618f378479e"/>
    <x:sheet xmlns:r="http://schemas.openxmlformats.org/officeDocument/2006/relationships" name="Assumptions" sheetId="3" r:id="Rfde10151e93743e2"/>
    <x:sheet xmlns:r="http://schemas.openxmlformats.org/officeDocument/2006/relationships" name="Sources" sheetId="4" r:id="Rd669e632e5d3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yyyy-mm-dd"/>
    <x:numFmt numFmtId="202" formatCode="#,##0"/>
    <x:numFmt numFmtId="203" formatCode="0.000"/>
    <x:numFmt numFmtId="204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BBD0DD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1B2B"/>
      </x:patternFill>
    </x:fill>
    <x:fill>
      <x:patternFill patternType="solid">
        <x:fgColor rgb="FF0F766E"/>
      </x:patternFill>
    </x:fill>
    <x:fill>
      <x:patternFill patternType="solid">
        <x:fgColor rgb="FFFFF3CF"/>
      </x:patternFill>
    </x:fill>
  </x:fills>
  <x:borders count="2">
    <x:border/>
    <x:border>
      <x:left style="thin">
        <x:color rgb="FFD6DFE6"/>
      </x:left>
      <x:right style="thin">
        <x:color rgb="FFD6DFE6"/>
      </x:right>
      <x:top style="thin">
        <x:color rgb="FFD6DFE6"/>
      </x:top>
      <x:bottom style="thin">
        <x:color rgb="FFD6DF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1" fontId="4" fillId="4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f046c270d433c" /><Relationship Type="http://schemas.openxmlformats.org/officeDocument/2006/relationships/theme" Target="/xl/theme/theme1.xml" Id="Ref29ef6b9bab455f" /><Relationship Type="http://schemas.openxmlformats.org/officeDocument/2006/relationships/sharedStrings" Target="/xl/sharedStrings.xml" Id="Rf8820c79d2234126" /><Relationship Type="http://schemas.openxmlformats.org/officeDocument/2006/relationships/worksheet" Target="/xl/worksheets/sheet1.xml" Id="Rf9f06cd4a38f464c" /><Relationship Type="http://schemas.openxmlformats.org/officeDocument/2006/relationships/worksheet" Target="/xl/worksheets/sheet2.xml" Id="Rc6caa618f378479e" /><Relationship Type="http://schemas.openxmlformats.org/officeDocument/2006/relationships/worksheet" Target="/xl/worksheets/sheet3.xml" Id="Rfde10151e93743e2" /><Relationship Type="http://schemas.openxmlformats.org/officeDocument/2006/relationships/worksheet" Target="/xl/worksheets/sheet4.xml" Id="Rd669e632e5d34f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4a08616b0e41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U.S. operational H100-equivalent capacity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U.S. H100e</c:v>
          </c:tx>
          <c:marker>
            <c:symbol val="none"/>
          </c:marker>
          <c:cat>
            <c:strRef>
              <c:f>'Quarterly Model'!$B$6:$B$25</c:f>
              <c:strCache>
                <c:ptCount val="0"/>
              </c:strCache>
            </c:strRef>
          </c:cat>
          <c:val>
            <c:numRef>
              <c:f>'Quarterly Model'!$E$6:$E$25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4</xdr:row>
      <xdr:rowOff>0</xdr:rowOff>
    </xdr:from>
    <xdr:to>
      <xdr:col>25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4a08616b0e41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uteSummaryTable" displayName="ComputeSummaryTable" ref="A5:C17" headerRowCount="1" totalsRowCount="0" totalsRowShown="0">
  <x:tableColumns count="3">
    <x:tableColumn id="1" name="Metric"/>
    <x:tableColumn id="2" name="Value"/>
    <x:tableColumn id="3" name="Unit / 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uteQuarterlyModelTable" displayName="ComputeQuarterlyModelTable" ref="A5:O25" headerRowCount="1" totalsRowCount="0" totalsRowShown="0">
  <x:tableColumns count="15">
    <x:tableColumn id="1" name="Quarter index"/>
    <x:tableColumn id="2" name="Quarter"/>
    <x:tableColumn id="3" name="Cutoff"/>
    <x:tableColumn id="4" name="Phase"/>
    <x:tableColumn id="5" name="U.S. H100e"/>
    <x:tableColumn id="6" name="Included sites"/>
    <x:tableColumn id="7" name="log₂ H100e"/>
    <x:tableColumn id="8" name="Log growth / quarter"/>
    <x:tableColumn id="9" name="Compute-equivalent tokens/day"/>
    <x:tableColumn id="10" name="Supported users"/>
    <x:tableColumn id="11" name="Score vs target"/>
    <x:tableColumn id="12" name="Letter"/>
    <x:tableColumn id="13" name="GPA"/>
    <x:tableColumn id="14" name="Source ID"/>
    <x:tableColumn id="15" name="Method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uteAssumptionsTable" displayName="ComputeAssumptionsTable" ref="A5:D21" headerRowCount="1" totalsRowCount="0" totalsRowShown="0">
  <x:tableColumns count="4">
    <x:tableColumn id="1" name="Group"/>
    <x:tableColumn id="2" name="Variable"/>
    <x:tableColumn id="3" name="Value"/>
    <x:tableColumn id="4" name="Unit / explan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uteSourcesTable" displayName="ComputeSourcesTable" ref="A5:G11" headerRowCount="1" totalsRowCount="0" totalsRowShown="0">
  <x:tableColumns count="7">
    <x:tableColumn id="1" name="Source ID"/>
    <x:tableColumn id="2" name="Publisher"/>
    <x:tableColumn id="3" name="Title"/>
    <x:tableColumn id="4" name="Accessed"/>
    <x:tableColumn id="5" name="Roles"/>
    <x:tableColumn id="6" name="Public URL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da08a20ddd49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266eb8538f04e3b" /><Relationship Type="http://schemas.openxmlformats.org/officeDocument/2006/relationships/table" Target="/xl/tables/table2.xml" Id="R4d337250e6d249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1bb1a45bc644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8262a85b9948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54" hidden="0" customWidth="1"/>
  </x:cols>
  <x:sheetData>
    <x:row r="1" ht="26" customHeight="1">
      <x:c r="A1" s="3" t="str">
        <x:v>Compute Supply Report Card</x:v>
      </x:c>
      <x:c r="B1" s="3"/>
      <x:c r="C1" s="3"/>
    </x:row>
    <x:row r="2" ht="26" customHeight="1">
      <x:c r="A2" s="3"/>
      <x:c r="B2" s="3"/>
      <x:c r="C2" s="3"/>
    </x:row>
    <x:row r="3" ht="48" hidden="0" customHeight="1">
      <x:c r="A3" s="6" t="str">
        <x:v>Snapshot 2026-08-26. The supply gate passes only when modeled U.S. capacity can serve 100% of the selected target population.</x:v>
      </x:c>
      <x:c r="B3" s="6"/>
      <x:c r="C3" s="6"/>
    </x:row>
    <x:row r="4"/>
    <x:row r="5" ht="39.599998474121094" hidden="0" customHeight="1">
      <x:c r="A5" s="12" t="str">
        <x:v>Metric</x:v>
      </x:c>
      <x:c r="B5" s="12" t="str">
        <x:v>Value</x:v>
      </x:c>
      <x:c r="C5" s="12" t="str">
        <x:v>Unit / interpretation</x:v>
      </x:c>
    </x:row>
    <x:row r="6" ht="64.80000305175781" hidden="0" customHeight="1">
      <x:c r="A6" s="19" t="str">
        <x:v>Snapshot</x:v>
      </x:c>
      <x:c r="B6" s="19" t="str">
        <x:v>2026-08-26</x:v>
      </x:c>
      <x:c r="C6" s="19" t="str">
        <x:v>Latest immutable snapshot selected automatically</x:v>
      </x:c>
    </x:row>
    <x:row r="7" ht="32.400001525878906" hidden="0" customHeight="1">
      <x:c r="A7" s="19" t="str">
        <x:v>Current U.S. operational capacity</x:v>
      </x:c>
      <x:c r="B7" s="19" t="n">
        <x:v>13524006</x:v>
      </x:c>
      <x:c r="C7" s="19" t="str">
        <x:v>H100-equivalents</x:v>
      </x:c>
    </x:row>
    <x:row r="8" ht="32.400001525878906" hidden="0" customHeight="1">
      <x:c r="A8" s="19" t="str">
        <x:v>Current supported users</x:v>
      </x:c>
      <x:c r="B8" s="19" t="n">
        <x:v>32212680.521781493</x:v>
      </x:c>
      <x:c r="C8" s="19" t="str">
        <x:v>high-autonomy users</x:v>
      </x:c>
    </x:row>
    <x:row r="9" ht="21.600000381469727" hidden="0" customHeight="1">
      <x:c r="A9" s="19" t="str">
        <x:v>Target users</x:v>
      </x:c>
      <x:c r="B9" s="19" t="n">
        <x:v>171400000</x:v>
      </x:c>
      <x:c r="C9" s="19" t="str">
        <x:v>50% of U.S. population</x:v>
      </x:c>
    </x:row>
    <x:row r="10" ht="21.600000381469727" hidden="0" customHeight="1">
      <x:c r="A10" s="19" t="str">
        <x:v>Required U.S. capacity</x:v>
      </x:c>
      <x:c r="B10" s="19" t="n">
        <x:v>71959693.84890558</x:v>
      </x:c>
      <x:c r="C10" s="19" t="str">
        <x:v>H100-equivalents</x:v>
      </x:c>
    </x:row>
    <x:row r="11" ht="32.400001525878906" hidden="0" customHeight="1">
      <x:c r="A11" s="19" t="str">
        <x:v>Current supply score</x:v>
      </x:c>
      <x:c r="B11" s="20" t="n">
        <x:v>0.18793862614808338</x:v>
      </x:c>
      <x:c r="C11" s="19" t="str">
        <x:v>supported users / target users</x:v>
      </x:c>
    </x:row>
    <x:row r="12" ht="32.400001525878906" hidden="0" customHeight="1">
      <x:c r="A12" s="19" t="str">
        <x:v>Personal-AI inference share</x:v>
      </x:c>
      <x:c r="B12" s="20" t="n">
        <x:v>0.5</x:v>
      </x:c>
      <x:c r="C12" s="19" t="str">
        <x:v>scenario allocation</x:v>
      </x:c>
    </x:row>
    <x:row r="13" ht="32.400001525878906" hidden="0" customHeight="1">
      <x:c r="A13" s="19" t="str">
        <x:v>Workload per user/day</x:v>
      </x:c>
      <x:c r="B13" s="19" t="n">
        <x:v>16750000</x:v>
      </x:c>
      <x:c r="C13" s="19" t="str">
        <x:v>compute-equivalent tokens</x:v>
      </x:c>
    </x:row>
    <x:row r="14" ht="32.400001525878906" hidden="0" customHeight="1">
      <x:c r="A14" s="19" t="str">
        <x:v>Tokens per H100e/day</x:v>
      </x:c>
      <x:c r="B14" s="19" t="n">
        <x:v>39896640</x:v>
      </x:c>
      <x:c r="C14" s="19" t="str">
        <x:v>after personal-AI allocation</x:v>
      </x:c>
    </x:row>
    <x:row r="15" ht="32.400001525878906" hidden="0" customHeight="1">
      <x:c r="A15" s="19" t="str">
        <x:v>Mean projected log velocity</x:v>
      </x:c>
      <x:c r="B15" s="19" t="n">
        <x:v>0.24379055731655638</x:v>
      </x:c>
      <x:c r="C15" s="19" t="str">
        <x:v>log₂ H100e / quarter</x:v>
      </x:c>
    </x:row>
    <x:row r="16" ht="32.400001525878906" hidden="0" customHeight="1">
      <x:c r="A16" s="19" t="str">
        <x:v>Projected log acceleration</x:v>
      </x:c>
      <x:c r="B16" s="19" t="n">
        <x:v>0.0033726529962799273</x:v>
      </x:c>
      <x:c r="C16" s="19" t="str">
        <x:v>log₂ H100e / quarter²</x:v>
      </x:c>
    </x:row>
    <x:row r="17" ht="32.400001525878906" hidden="0" customHeight="1">
      <x:c r="A17" s="19" t="str">
        <x:v>Continuous base-case crossing</x:v>
      </x:c>
      <x:c r="B17" s="21" t="n">
        <x:v>47168.337489398145</x:v>
      </x:c>
      <x:c r="C17" s="19" t="str">
        <x:v>100% of selected target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08da08a20ddd49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0" hidden="0" customWidth="1"/>
    <x:col min="5" max="5" width="18" hidden="0" customWidth="1"/>
    <x:col min="6" max="6" width="14" hidden="0" customWidth="1"/>
    <x:col min="7" max="7" width="16" hidden="0" customWidth="1"/>
    <x:col min="8" max="8" width="18" hidden="0" customWidth="1"/>
    <x:col min="9" max="9" width="22" hidden="0" customWidth="1"/>
    <x:col min="10" max="10" width="19" hidden="0" customWidth="1"/>
    <x:col min="11" max="11" width="17" hidden="0" customWidth="1"/>
    <x:col min="12" max="12" width="9" hidden="0" customWidth="1"/>
    <x:col min="13" max="13" width="9" hidden="0" customWidth="1"/>
    <x:col min="14" max="14" width="13" hidden="0" customWidth="1"/>
    <x:col min="15" max="15" width="55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</x:cols>
  <x:sheetData>
    <x:row r="1" ht="26" customHeight="1">
      <x:c r="A1" s="3" t="str">
        <x:v>U.S. Compute Capacity — Observed and Projected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15" hidden="0" customHeight="1">
      <x:c r="A3" s="6" t="str">
        <x:v>Quarterly operational H100-equivalent supply from the selected snapshot, translated to supported users under the visible serving envelope.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/>
    <x:row r="5" ht="66" hidden="0" customHeight="1">
      <x:c r="A5" s="12" t="str">
        <x:v>Quarter index</x:v>
      </x:c>
      <x:c r="B5" s="12" t="str">
        <x:v>Quarter</x:v>
      </x:c>
      <x:c r="C5" s="12" t="str">
        <x:v>Cutoff</x:v>
      </x:c>
      <x:c r="D5" s="12" t="str">
        <x:v>Phase</x:v>
      </x:c>
      <x:c r="E5" s="12" t="str">
        <x:v>U.S. H100e</x:v>
      </x:c>
      <x:c r="F5" s="12" t="str">
        <x:v>Included sites</x:v>
      </x:c>
      <x:c r="G5" s="12" t="str">
        <x:v>log₂ H100e</x:v>
      </x:c>
      <x:c r="H5" s="12" t="str">
        <x:v>Log growth / quarter</x:v>
      </x:c>
      <x:c r="I5" s="12" t="str">
        <x:v>Compute-equivalent tokens/day</x:v>
      </x:c>
      <x:c r="J5" s="12" t="str">
        <x:v>Supported users</x:v>
      </x:c>
      <x:c r="K5" s="12" t="str">
        <x:v>Score vs target</x:v>
      </x:c>
      <x:c r="L5" s="12" t="str">
        <x:v>Letter</x:v>
      </x:c>
      <x:c r="M5" s="12" t="str">
        <x:v>GPA</x:v>
      </x:c>
      <x:c r="N5" s="12" t="str">
        <x:v>Source ID</x:v>
      </x:c>
      <x:c r="O5" s="12" t="str">
        <x:v>Method note</x:v>
      </x:c>
    </x:row>
    <x:row r="6" ht="75.5999984741211" hidden="0" customHeight="1">
      <x:c r="A6" s="16" t="n">
        <x:v>1</x:v>
      </x:c>
      <x:c r="B6" s="16" t="str">
        <x:v>2024-Q1</x:v>
      </x:c>
      <x:c r="C6" s="18" t="str">
        <x:v>2024-03-31</x:v>
      </x:c>
      <x:c r="D6" s="16" t="str">
        <x:v>observed_quarter_end</x:v>
      </x:c>
      <x:c r="E6" s="22" t="n">
        <x:v>245664</x:v>
      </x:c>
      <x:c r="F6" s="22" t="n">
        <x:v>8</x:v>
      </x:c>
      <x:c r="G6" s="23" t="n">
        <x:v>17.906326932760603</x:v>
      </x:c>
      <x:c r="H6" s="23"/>
      <x:c r="I6" s="22" t="n">
        <x:v>9801168168960</x:v>
      </x:c>
      <x:c r="J6" s="22" t="n">
        <x:v>585144.3682961194</x:v>
      </x:c>
      <x:c r="K6" s="17" t="n">
        <x:v>0.00341391113358296</x:v>
      </x:c>
      <x:c r="L6" s="16" t="str">
        <x:v>F</x:v>
      </x:c>
      <x:c r="M6" s="16" t="n">
        <x:v>0</x:v>
      </x:c>
      <x:c r="N6" s="16" t="str">
        <x:v>source-003</x:v>
      </x:c>
      <x:c r="O6" s="16" t="str">
        <x:v>Latest published state on or before cutoff for each Epoch-covered U.S. site</x:v>
      </x:c>
    </x:row>
    <x:row r="7" ht="75.5999984741211" hidden="0" customHeight="1">
      <x:c r="A7" s="16" t="n">
        <x:v>2</x:v>
      </x:c>
      <x:c r="B7" s="16" t="str">
        <x:v>2024-Q2</x:v>
      </x:c>
      <x:c r="C7" s="18" t="str">
        <x:v>2024-06-30</x:v>
      </x:c>
      <x:c r="D7" s="16" t="str">
        <x:v>observed_quarter_end</x:v>
      </x:c>
      <x:c r="E7" s="22" t="n">
        <x:v>475238</x:v>
      </x:c>
      <x:c r="F7" s="22" t="n">
        <x:v>13</x:v>
      </x:c>
      <x:c r="G7" s="23" t="n">
        <x:v>18.858290672990677</x:v>
      </x:c>
      <x:c r="H7" s="23" t="n">
        <x:v>0.9519637402300738</x:v>
      </x:c>
      <x:c r="I7" s="22" t="n">
        <x:v>18960399400320</x:v>
      </x:c>
      <x:c r="J7" s="22" t="n">
        <x:v>1131964.1433026865</x:v>
      </x:c>
      <x:c r="K7" s="17" t="n">
        <x:v>0.00660422487341124</x:v>
      </x:c>
      <x:c r="L7" s="16" t="str">
        <x:v>F</x:v>
      </x:c>
      <x:c r="M7" s="16" t="n">
        <x:v>0</x:v>
      </x:c>
      <x:c r="N7" s="16" t="str">
        <x:v>source-003</x:v>
      </x:c>
      <x:c r="O7" s="16" t="str">
        <x:v>Latest published state on or before cutoff for each Epoch-covered U.S. site</x:v>
      </x:c>
    </x:row>
    <x:row r="8" ht="75.5999984741211" hidden="0" customHeight="1">
      <x:c r="A8" s="16" t="n">
        <x:v>3</x:v>
      </x:c>
      <x:c r="B8" s="16" t="str">
        <x:v>2024-Q3</x:v>
      </x:c>
      <x:c r="C8" s="18" t="str">
        <x:v>2024-09-30</x:v>
      </x:c>
      <x:c r="D8" s="16" t="str">
        <x:v>observed_quarter_end</x:v>
      </x:c>
      <x:c r="E8" s="22" t="n">
        <x:v>722180</x:v>
      </x:c>
      <x:c r="F8" s="22" t="n">
        <x:v>16</x:v>
      </x:c>
      <x:c r="G8" s="23" t="n">
        <x:v>19.46199894138585</x:v>
      </x:c>
      <x:c r="H8" s="23" t="n">
        <x:v>0.6037082683951738</x:v>
      </x:c>
      <x:c r="I8" s="22" t="n">
        <x:v>28812555475200</x:v>
      </x:c>
      <x:c r="J8" s="22" t="n">
        <x:v>1720152.565683582</x:v>
      </x:c>
      <x:c r="K8" s="17" t="n">
        <x:v>0.010035895949145753</x:v>
      </x:c>
      <x:c r="L8" s="16" t="str">
        <x:v>F</x:v>
      </x:c>
      <x:c r="M8" s="16" t="n">
        <x:v>0</x:v>
      </x:c>
      <x:c r="N8" s="16" t="str">
        <x:v>source-003</x:v>
      </x:c>
      <x:c r="O8" s="16" t="str">
        <x:v>Latest published state on or before cutoff for each Epoch-covered U.S. site</x:v>
      </x:c>
    </x:row>
    <x:row r="9" ht="75.5999984741211" hidden="0" customHeight="1">
      <x:c r="A9" s="16" t="n">
        <x:v>4</x:v>
      </x:c>
      <x:c r="B9" s="16" t="str">
        <x:v>2024-Q4</x:v>
      </x:c>
      <x:c r="C9" s="18" t="str">
        <x:v>2024-12-31</x:v>
      </x:c>
      <x:c r="D9" s="16" t="str">
        <x:v>observed_quarter_end</x:v>
      </x:c>
      <x:c r="E9" s="22" t="n">
        <x:v>1012483</x:v>
      </x:c>
      <x:c r="F9" s="22" t="n">
        <x:v>18</x:v>
      </x:c>
      <x:c r="G9" s="23" t="n">
        <x:v>19.949466254090233</x:v>
      </x:c>
      <x:c r="H9" s="23" t="n">
        <x:v>0.48746731270438204</x:v>
      </x:c>
      <x:c r="I9" s="22" t="n">
        <x:v>40394669757120</x:v>
      </x:c>
      <x:c r="J9" s="22" t="n">
        <x:v>2411622.0750519405</x:v>
      </x:c>
      <x:c r="K9" s="17" t="n">
        <x:v>0.01407014046121319</x:v>
      </x:c>
      <x:c r="L9" s="16" t="str">
        <x:v>F</x:v>
      </x:c>
      <x:c r="M9" s="16" t="n">
        <x:v>0</x:v>
      </x:c>
      <x:c r="N9" s="16" t="str">
        <x:v>source-003</x:v>
      </x:c>
      <x:c r="O9" s="16" t="str">
        <x:v>Latest published state on or before cutoff for each Epoch-covered U.S. site</x:v>
      </x:c>
    </x:row>
    <x:row r="10" ht="75.5999984741211" hidden="0" customHeight="1">
      <x:c r="A10" s="16" t="n">
        <x:v>5</x:v>
      </x:c>
      <x:c r="B10" s="16" t="str">
        <x:v>2025-Q1</x:v>
      </x:c>
      <x:c r="C10" s="18" t="str">
        <x:v>2025-03-31</x:v>
      </x:c>
      <x:c r="D10" s="16" t="str">
        <x:v>observed_quarter_end</x:v>
      </x:c>
      <x:c r="E10" s="22" t="n">
        <x:v>1351240</x:v>
      </x:c>
      <x:c r="F10" s="22" t="n">
        <x:v>20</x:v>
      </x:c>
      <x:c r="G10" s="23" t="n">
        <x:v>20.365852510500535</x:v>
      </x:c>
      <x:c r="H10" s="23" t="n">
        <x:v>0.416386256410302</x:v>
      </x:c>
      <x:c r="I10" s="22" t="n">
        <x:v>53909935833600</x:v>
      </x:c>
      <x:c r="J10" s="22" t="n">
        <x:v>3218503.6318567162</x:v>
      </x:c>
      <x:c r="K10" s="17" t="n">
        <x:v>0.018777734141521098</x:v>
      </x:c>
      <x:c r="L10" s="16" t="str">
        <x:v>F</x:v>
      </x:c>
      <x:c r="M10" s="16" t="n">
        <x:v>0</x:v>
      </x:c>
      <x:c r="N10" s="16" t="str">
        <x:v>source-003</x:v>
      </x:c>
      <x:c r="O10" s="16" t="str">
        <x:v>Latest published state on or before cutoff for each Epoch-covered U.S. site</x:v>
      </x:c>
    </x:row>
    <x:row r="11" ht="75.5999984741211" hidden="0" customHeight="1">
      <x:c r="A11" s="16" t="n">
        <x:v>6</x:v>
      </x:c>
      <x:c r="B11" s="16" t="str">
        <x:v>2025-Q2</x:v>
      </x:c>
      <x:c r="C11" s="18" t="str">
        <x:v>2025-06-30</x:v>
      </x:c>
      <x:c r="D11" s="16" t="str">
        <x:v>observed_quarter_end</x:v>
      </x:c>
      <x:c r="E11" s="22" t="n">
        <x:v>2386876</x:v>
      </x:c>
      <x:c r="F11" s="22" t="n">
        <x:v>23</x:v>
      </x:c>
      <x:c r="G11" s="23" t="n">
        <x:v>21.18669218860024</x:v>
      </x:c>
      <x:c r="H11" s="23" t="n">
        <x:v>0.8208396780997056</x:v>
      </x:c>
      <x:c r="I11" s="22" t="n">
        <x:v>95228332496640</x:v>
      </x:c>
      <x:c r="J11" s="22" t="n">
        <x:v>5685273.581888955</x:v>
      </x:c>
      <x:c r="K11" s="17" t="n">
        <x:v>0.033169624165046416</x:v>
      </x:c>
      <x:c r="L11" s="16" t="str">
        <x:v>F</x:v>
      </x:c>
      <x:c r="M11" s="16" t="n">
        <x:v>0</x:v>
      </x:c>
      <x:c r="N11" s="16" t="str">
        <x:v>source-003</x:v>
      </x:c>
      <x:c r="O11" s="16" t="str">
        <x:v>Latest published state on or before cutoff for each Epoch-covered U.S. site</x:v>
      </x:c>
    </x:row>
    <x:row r="12" ht="75.5999984741211" hidden="0" customHeight="1">
      <x:c r="A12" s="16" t="n">
        <x:v>7</x:v>
      </x:c>
      <x:c r="B12" s="16" t="str">
        <x:v>2025-Q3</x:v>
      </x:c>
      <x:c r="C12" s="18" t="str">
        <x:v>2025-09-30</x:v>
      </x:c>
      <x:c r="D12" s="16" t="str">
        <x:v>observed_quarter_end</x:v>
      </x:c>
      <x:c r="E12" s="22" t="n">
        <x:v>3139660</x:v>
      </x:c>
      <x:c r="F12" s="22" t="n">
        <x:v>28</x:v>
      </x:c>
      <x:c r="G12" s="23" t="n">
        <x:v>21.582176904596352</x:v>
      </x:c>
      <x:c r="H12" s="23" t="n">
        <x:v>0.3954847159961119</x:v>
      </x:c>
      <x:c r="I12" s="22" t="n">
        <x:v>125261884742400</x:v>
      </x:c>
      <x:c r="J12" s="22" t="n">
        <x:v>7478321.477158209</x:v>
      </x:c>
      <x:c r="K12" s="17" t="n">
        <x:v>0.04363081375238162</x:v>
      </x:c>
      <x:c r="L12" s="16" t="str">
        <x:v>F</x:v>
      </x:c>
      <x:c r="M12" s="16" t="n">
        <x:v>0</x:v>
      </x:c>
      <x:c r="N12" s="16" t="str">
        <x:v>source-003</x:v>
      </x:c>
      <x:c r="O12" s="16" t="str">
        <x:v>Latest published state on or before cutoff for each Epoch-covered U.S. site</x:v>
      </x:c>
    </x:row>
    <x:row r="13" ht="75.5999984741211" hidden="0" customHeight="1">
      <x:c r="A13" s="16" t="n">
        <x:v>8</x:v>
      </x:c>
      <x:c r="B13" s="16" t="str">
        <x:v>2025-Q4</x:v>
      </x:c>
      <x:c r="C13" s="18" t="str">
        <x:v>2025-12-31</x:v>
      </x:c>
      <x:c r="D13" s="16" t="str">
        <x:v>observed_quarter_end</x:v>
      </x:c>
      <x:c r="E13" s="22" t="n">
        <x:v>5291375</x:v>
      </x:c>
      <x:c r="F13" s="22" t="n">
        <x:v>34</x:v>
      </x:c>
      <x:c r="G13" s="23" t="n">
        <x:v>22.335211234559345</x:v>
      </x:c>
      <x:c r="H13" s="23" t="n">
        <x:v>0.7530343299629934</x:v>
      </x:c>
      <x:c r="I13" s="22" t="n">
        <x:v>211108083480000</x:v>
      </x:c>
      <x:c r="J13" s="22" t="n">
        <x:v>12603467.670447761</x:v>
      </x:c>
      <x:c r="K13" s="17" t="n">
        <x:v>0.07353248349152719</x:v>
      </x:c>
      <x:c r="L13" s="16" t="str">
        <x:v>F</x:v>
      </x:c>
      <x:c r="M13" s="16" t="n">
        <x:v>0</x:v>
      </x:c>
      <x:c r="N13" s="16" t="str">
        <x:v>source-003</x:v>
      </x:c>
      <x:c r="O13" s="16" t="str">
        <x:v>Latest published state on or before cutoff for each Epoch-covered U.S. site</x:v>
      </x:c>
    </x:row>
    <x:row r="14" ht="75.5999984741211" hidden="0" customHeight="1">
      <x:c r="A14" s="16" t="n">
        <x:v>9</x:v>
      </x:c>
      <x:c r="B14" s="16" t="str">
        <x:v>2026-Q1</x:v>
      </x:c>
      <x:c r="C14" s="18" t="str">
        <x:v>2026-03-31</x:v>
      </x:c>
      <x:c r="D14" s="16" t="str">
        <x:v>observed_quarter_end</x:v>
      </x:c>
      <x:c r="E14" s="22" t="n">
        <x:v>6301294</x:v>
      </x:c>
      <x:c r="F14" s="22" t="n">
        <x:v>40</x:v>
      </x:c>
      <x:c r="G14" s="23" t="n">
        <x:v>22.587216692490205</x:v>
      </x:c>
      <x:c r="H14" s="23" t="n">
        <x:v>0.25200545793085993</x:v>
      </x:c>
      <x:c r="I14" s="22" t="n">
        <x:v>251400458252160</x:v>
      </x:c>
      <x:c r="J14" s="22" t="n">
        <x:v>15008982.582218507</x:v>
      </x:c>
      <x:c r="K14" s="17" t="n">
        <x:v>0.08756699289509047</x:v>
      </x:c>
      <x:c r="L14" s="16" t="str">
        <x:v>F</x:v>
      </x:c>
      <x:c r="M14" s="16" t="n">
        <x:v>0</x:v>
      </x:c>
      <x:c r="N14" s="16" t="str">
        <x:v>source-003</x:v>
      </x:c>
      <x:c r="O14" s="16" t="str">
        <x:v>Latest published state on or before cutoff for each Epoch-covered U.S. site</x:v>
      </x:c>
    </x:row>
    <x:row r="15" ht="75.5999984741211" hidden="0" customHeight="1">
      <x:c r="A15" s="16" t="n">
        <x:v>10</x:v>
      </x:c>
      <x:c r="B15" s="16" t="str">
        <x:v>2026-Q2</x:v>
      </x:c>
      <x:c r="C15" s="18" t="str">
        <x:v>2026-06-30</x:v>
      </x:c>
      <x:c r="D15" s="16" t="str">
        <x:v>observed_quarter_end</x:v>
      </x:c>
      <x:c r="E15" s="22" t="n">
        <x:v>11223855</x:v>
      </x:c>
      <x:c r="F15" s="22" t="n">
        <x:v>54</x:v>
      </x:c>
      <x:c r="G15" s="23" t="n">
        <x:v>23.420064940351462</x:v>
      </x:c>
      <x:c r="H15" s="23" t="n">
        <x:v>0.8328482478612571</x:v>
      </x:c>
      <x:c r="I15" s="22" t="n">
        <x:v>447794102347200</x:v>
      </x:c>
      <x:c r="J15" s="22" t="n">
        <x:v>26733976.25953433</x:v>
      </x:c>
      <x:c r="K15" s="17" t="n">
        <x:v>0.15597419054570788</x:v>
      </x:c>
      <x:c r="L15" s="16" t="str">
        <x:v>F</x:v>
      </x:c>
      <x:c r="M15" s="16" t="n">
        <x:v>0</x:v>
      </x:c>
      <x:c r="N15" s="16" t="str">
        <x:v>source-003</x:v>
      </x:c>
      <x:c r="O15" s="16" t="str">
        <x:v>Latest published state on or before cutoff for each Epoch-covered U.S. site</x:v>
      </x:c>
    </x:row>
    <x:row r="16" ht="97.19999694824219" hidden="0" customHeight="1">
      <x:c r="A16" s="16" t="n">
        <x:v>11</x:v>
      </x:c>
      <x:c r="B16" s="16" t="str">
        <x:v>2026-Q3</x:v>
      </x:c>
      <x:c r="C16" s="18" t="str">
        <x:v>2026-08-26</x:v>
      </x:c>
      <x:c r="D16" s="16" t="str">
        <x:v>observed_qtd</x:v>
      </x:c>
      <x:c r="E16" s="22" t="n">
        <x:v>13524006</x:v>
      </x:c>
      <x:c r="F16" s="22" t="n">
        <x:v>58</x:v>
      </x:c>
      <x:c r="G16" s="23" t="n">
        <x:v>23.689019225615233</x:v>
      </x:c>
      <x:c r="H16" s="23" t="n">
        <x:v>0.26895428526377074</x:v>
      </x:c>
      <x:c r="I16" s="22" t="n">
        <x:v>539562398739840</x:v>
      </x:c>
      <x:c r="J16" s="22" t="n">
        <x:v>32212680.521781493</x:v>
      </x:c>
      <x:c r="K16" s="17" t="n">
        <x:v>0.18793862614808338</x:v>
      </x:c>
      <x:c r="L16" s="16" t="str">
        <x:v>F</x:v>
      </x:c>
      <x:c r="M16" s="16" t="n">
        <x:v>0</x:v>
      </x:c>
      <x:c r="N16" s="16" t="str">
        <x:v>source-003</x:v>
      </x:c>
      <x:c r="O16" s="16" t="str">
        <x:v>Latest published state on or before evidence cutoff for each Epoch-covered U.S. site</x:v>
      </x:c>
    </x:row>
    <x:row r="17" ht="86.4000015258789" hidden="0" customHeight="1">
      <x:c r="A17" s="16" t="n">
        <x:v>12</x:v>
      </x:c>
      <x:c r="B17" s="16" t="str">
        <x:v>2026-Q4</x:v>
      </x:c>
      <x:c r="C17" s="18" t="str">
        <x:v>2026-12-31</x:v>
      </x:c>
      <x:c r="D17" s="16" t="str">
        <x:v>projected</x:v>
      </x:c>
      <x:c r="E17" s="22" t="n">
        <x:v>17399770</x:v>
      </x:c>
      <x:c r="F17" s="22" t="n">
        <x:v>64</x:v>
      </x:c>
      <x:c r="G17" s="23" t="n">
        <x:v>24.052564900052637</x:v>
      </x:c>
      <x:c r="H17" s="23" t="n">
        <x:v>0.36354567443740393</x:v>
      </x:c>
      <x:c r="I17" s="22" t="n">
        <x:v>694192359772800</x:v>
      </x:c>
      <x:c r="J17" s="22" t="n">
        <x:v>41444319.98643582</x:v>
      </x:c>
      <x:c r="K17" s="17" t="n">
        <x:v>0.24179883305971892</x:v>
      </x:c>
      <x:c r="L17" s="16" t="str">
        <x:v>F</x:v>
      </x:c>
      <x:c r="M17" s="16" t="n">
        <x:v>0</x:v>
      </x:c>
      <x:c r="N17" s="16" t="str">
        <x:v>source-003</x:v>
      </x:c>
      <x:c r="O17" s="16" t="str">
        <x:v>Latest expected or projected state on or before cutoff for each Epoch-covered U.S. site</x:v>
      </x:c>
    </x:row>
    <x:row r="18" ht="86.4000015258789" hidden="0" customHeight="1">
      <x:c r="A18" s="16" t="n">
        <x:v>13</x:v>
      </x:c>
      <x:c r="B18" s="16" t="str">
        <x:v>2027-Q1</x:v>
      </x:c>
      <x:c r="C18" s="18" t="str">
        <x:v>2027-03-31</x:v>
      </x:c>
      <x:c r="D18" s="16" t="str">
        <x:v>projected</x:v>
      </x:c>
      <x:c r="E18" s="22" t="n">
        <x:v>20368064</x:v>
      </x:c>
      <x:c r="F18" s="22" t="n">
        <x:v>65</x:v>
      </x:c>
      <x:c r="G18" s="23" t="n">
        <x:v>24.279805521769333</x:v>
      </x:c>
      <x:c r="H18" s="23" t="n">
        <x:v>0.227240621716696</x:v>
      </x:c>
      <x:c r="I18" s="22" t="n">
        <x:v>812617316904960</x:v>
      </x:c>
      <x:c r="J18" s="22" t="n">
        <x:v>48514466.68089314</x:v>
      </x:c>
      <x:c r="K18" s="17" t="n">
        <x:v>0.28304823034360055</x:v>
      </x:c>
      <x:c r="L18" s="16" t="str">
        <x:v>F</x:v>
      </x:c>
      <x:c r="M18" s="16" t="n">
        <x:v>0</x:v>
      </x:c>
      <x:c r="N18" s="16" t="str">
        <x:v>source-003</x:v>
      </x:c>
      <x:c r="O18" s="16" t="str">
        <x:v>Latest expected or projected state on or before cutoff for each Epoch-covered U.S. site</x:v>
      </x:c>
    </x:row>
    <x:row r="19" ht="86.4000015258789" hidden="0" customHeight="1">
      <x:c r="A19" s="16" t="n">
        <x:v>14</x:v>
      </x:c>
      <x:c r="B19" s="16" t="str">
        <x:v>2027-Q2</x:v>
      </x:c>
      <x:c r="C19" s="18" t="str">
        <x:v>2027-06-30</x:v>
      </x:c>
      <x:c r="D19" s="16" t="str">
        <x:v>projected</x:v>
      </x:c>
      <x:c r="E19" s="22" t="n">
        <x:v>21439292</x:v>
      </x:c>
      <x:c r="F19" s="22" t="n">
        <x:v>65</x:v>
      </x:c>
      <x:c r="G19" s="23" t="n">
        <x:v>24.3537539279851</x:v>
      </x:c>
      <x:c r="H19" s="23" t="n">
        <x:v>0.07394840621576648</x:v>
      </x:c>
      <x:c r="I19" s="22" t="n">
        <x:v>855355714778880</x:v>
      </x:c>
      <x:c r="J19" s="22" t="n">
        <x:v>51066012.8226197</x:v>
      </x:c>
      <x:c r="K19" s="17" t="n">
        <x:v>0.29793473058704606</x:v>
      </x:c>
      <x:c r="L19" s="16" t="str">
        <x:v>F</x:v>
      </x:c>
      <x:c r="M19" s="16" t="n">
        <x:v>0</x:v>
      </x:c>
      <x:c r="N19" s="16" t="str">
        <x:v>source-003</x:v>
      </x:c>
      <x:c r="O19" s="16" t="str">
        <x:v>Latest expected or projected state on or before cutoff for each Epoch-covered U.S. site</x:v>
      </x:c>
    </x:row>
    <x:row r="20" ht="86.4000015258789" hidden="0" customHeight="1">
      <x:c r="A20" s="16" t="n">
        <x:v>15</x:v>
      </x:c>
      <x:c r="B20" s="16" t="str">
        <x:v>2027-Q3</x:v>
      </x:c>
      <x:c r="C20" s="18" t="str">
        <x:v>2027-09-30</x:v>
      </x:c>
      <x:c r="D20" s="16" t="str">
        <x:v>projected</x:v>
      </x:c>
      <x:c r="E20" s="22" t="n">
        <x:v>23242366</x:v>
      </x:c>
      <x:c r="F20" s="22" t="n">
        <x:v>67</x:v>
      </x:c>
      <x:c r="G20" s="23" t="n">
        <x:v>24.47025360226221</x:v>
      </x:c>
      <x:c r="H20" s="23" t="n">
        <x:v>0.11649967427711161</x:v>
      </x:c>
      <x:c r="I20" s="22" t="n">
        <x:v>927292309050240</x:v>
      </x:c>
      <x:c r="J20" s="22" t="n">
        <x:v>55360734.868671045</x:v>
      </x:c>
      <x:c r="K20" s="17" t="n">
        <x:v>0.3229914519759104</x:v>
      </x:c>
      <x:c r="L20" s="16" t="str">
        <x:v>F</x:v>
      </x:c>
      <x:c r="M20" s="16" t="n">
        <x:v>0</x:v>
      </x:c>
      <x:c r="N20" s="16" t="str">
        <x:v>source-003</x:v>
      </x:c>
      <x:c r="O20" s="16" t="str">
        <x:v>Latest expected or projected state on or before cutoff for each Epoch-covered U.S. site</x:v>
      </x:c>
    </x:row>
    <x:row r="21" ht="86.4000015258789" hidden="0" customHeight="1">
      <x:c r="A21" s="16" t="n">
        <x:v>16</x:v>
      </x:c>
      <x:c r="B21" s="16" t="str">
        <x:v>2027-Q4</x:v>
      </x:c>
      <x:c r="C21" s="18" t="str">
        <x:v>2027-12-31</x:v>
      </x:c>
      <x:c r="D21" s="16" t="str">
        <x:v>projected</x:v>
      </x:c>
      <x:c r="E21" s="22" t="n">
        <x:v>30057691</x:v>
      </x:c>
      <x:c r="F21" s="22" t="n">
        <x:v>67</x:v>
      </x:c>
      <x:c r="G21" s="23" t="n">
        <x:v>24.841230851416743</x:v>
      </x:c>
      <x:c r="H21" s="23" t="n">
        <x:v>0.37097724915453156</x:v>
      </x:c>
      <x:c r="I21" s="22" t="n">
        <x:v>1199200877058240</x:v>
      </x:c>
      <x:c r="J21" s="22" t="n">
        <x:v>71594082.21243224</x:v>
      </x:c>
      <x:c r="K21" s="17" t="n">
        <x:v>0.41770176319972135</x:v>
      </x:c>
      <x:c r="L21" s="16" t="str">
        <x:v>F</x:v>
      </x:c>
      <x:c r="M21" s="16" t="n">
        <x:v>0</x:v>
      </x:c>
      <x:c r="N21" s="16" t="str">
        <x:v>source-003</x:v>
      </x:c>
      <x:c r="O21" s="16" t="str">
        <x:v>Latest expected or projected state on or before cutoff for each Epoch-covered U.S. site</x:v>
      </x:c>
    </x:row>
    <x:row r="22" ht="86.4000015258789" hidden="0" customHeight="1">
      <x:c r="A22" s="16" t="n">
        <x:v>17</x:v>
      </x:c>
      <x:c r="B22" s="16" t="str">
        <x:v>2028-Q1</x:v>
      </x:c>
      <x:c r="C22" s="18" t="str">
        <x:v>2028-03-31</x:v>
      </x:c>
      <x:c r="D22" s="16" t="str">
        <x:v>projected</x:v>
      </x:c>
      <x:c r="E22" s="22" t="n">
        <x:v>37048243</x:v>
      </x:c>
      <x:c r="F22" s="22" t="n">
        <x:v>68</x:v>
      </x:c>
      <x:c r="G22" s="23" t="n">
        <x:v>25.142901789055944</x:v>
      </x:c>
      <x:c r="H22" s="23" t="n">
        <x:v>0.3016709376392015</x:v>
      </x:c>
      <x:c r="I22" s="22" t="n">
        <x:v>1478100413603520</x:v>
      </x:c>
      <x:c r="J22" s="22" t="n">
        <x:v>88244800.81215045</x:v>
      </x:c>
      <x:c r="K22" s="17" t="n">
        <x:v>0.5148471459285324</x:v>
      </x:c>
      <x:c r="L22" s="16" t="str">
        <x:v>F</x:v>
      </x:c>
      <x:c r="M22" s="16" t="n">
        <x:v>0</x:v>
      </x:c>
      <x:c r="N22" s="16" t="str">
        <x:v>source-003</x:v>
      </x:c>
      <x:c r="O22" s="16" t="str">
        <x:v>Latest expected or projected state on or before cutoff for each Epoch-covered U.S. site</x:v>
      </x:c>
    </x:row>
    <x:row r="23" ht="86.4000015258789" hidden="0" customHeight="1">
      <x:c r="A23" s="16" t="n">
        <x:v>18</x:v>
      </x:c>
      <x:c r="B23" s="16" t="str">
        <x:v>2028-Q2</x:v>
      </x:c>
      <x:c r="C23" s="18" t="str">
        <x:v>2028-06-30</x:v>
      </x:c>
      <x:c r="D23" s="16" t="str">
        <x:v>projected</x:v>
      </x:c>
      <x:c r="E23" s="22" t="n">
        <x:v>46037632</x:v>
      </x:c>
      <x:c r="F23" s="22" t="n">
        <x:v>68</x:v>
      </x:c>
      <x:c r="G23" s="23" t="n">
        <x:v>25.456310292865954</x:v>
      </x:c>
      <x:c r="H23" s="23" t="n">
        <x:v>0.3134085038100096</x:v>
      </x:c>
      <x:c r="I23" s="22" t="n">
        <x:v>1836746830356480</x:v>
      </x:c>
      <x:c r="J23" s="22" t="n">
        <x:v>109656527.18546149</x:v>
      </x:c>
      <x:c r="K23" s="17" t="n">
        <x:v>0.6397697035324474</x:v>
      </x:c>
      <x:c r="L23" s="16" t="str">
        <x:v>D</x:v>
      </x:c>
      <x:c r="M23" s="16" t="n">
        <x:v>1</x:v>
      </x:c>
      <x:c r="N23" s="16" t="str">
        <x:v>source-003</x:v>
      </x:c>
      <x:c r="O23" s="16" t="str">
        <x:v>Latest expected or projected state on or before cutoff for each Epoch-covered U.S. site</x:v>
      </x:c>
    </x:row>
    <x:row r="24" ht="86.4000015258789" hidden="0" customHeight="1">
      <x:c r="A24" s="16" t="n">
        <x:v>19</x:v>
      </x:c>
      <x:c r="B24" s="16" t="str">
        <x:v>2028-Q3</x:v>
      </x:c>
      <x:c r="C24" s="18" t="str">
        <x:v>2028-09-30</x:v>
      </x:c>
      <x:c r="D24" s="16" t="str">
        <x:v>projected</x:v>
      </x:c>
      <x:c r="E24" s="22" t="n">
        <x:v>47106859</x:v>
      </x:c>
      <x:c r="F24" s="22" t="n">
        <x:v>68</x:v>
      </x:c>
      <x:c r="G24" s="23" t="n">
        <x:v>25.489433803133178</x:v>
      </x:c>
      <x:c r="H24" s="23" t="n">
        <x:v>0.03312351026722382</x:v>
      </x:c>
      <x:c r="I24" s="22" t="n">
        <x:v>1879405395053760</x:v>
      </x:c>
      <x:c r="J24" s="22" t="n">
        <x:v>112203307.16738866</x:v>
      </x:c>
      <x:c r="K24" s="17" t="n">
        <x:v>0.6546283965425242</x:v>
      </x:c>
      <x:c r="L24" s="16" t="str">
        <x:v>D</x:v>
      </x:c>
      <x:c r="M24" s="16" t="n">
        <x:v>1</x:v>
      </x:c>
      <x:c r="N24" s="16" t="str">
        <x:v>source-003</x:v>
      </x:c>
      <x:c r="O24" s="16" t="str">
        <x:v>Latest expected or projected state on or before cutoff for each Epoch-covered U.S. site</x:v>
      </x:c>
    </x:row>
    <x:row r="25" ht="86.4000015258789" hidden="0" customHeight="1">
      <x:c r="A25" s="16" t="n">
        <x:v>20</x:v>
      </x:c>
      <x:c r="B25" s="16" t="str">
        <x:v>2028-Q4</x:v>
      </x:c>
      <x:c r="C25" s="18" t="str">
        <x:v>2028-12-31</x:v>
      </x:c>
      <x:c r="D25" s="16" t="str">
        <x:v>projected</x:v>
      </x:c>
      <x:c r="E25" s="22" t="n">
        <x:v>61887051</x:v>
      </x:c>
      <x:c r="F25" s="22" t="n">
        <x:v>72</x:v>
      </x:c>
      <x:c r="G25" s="23" t="n">
        <x:v>25.88313424146424</x:v>
      </x:c>
      <x:c r="H25" s="23" t="n">
        <x:v>0.39370043833106294</x:v>
      </x:c>
      <x:c r="I25" s="22" t="n">
        <x:v>2469085394408640</x:v>
      </x:c>
      <x:c r="J25" s="22" t="n">
        <x:v>147408083.248277</x:v>
      </x:c>
      <x:c r="K25" s="17" t="n">
        <x:v>0.860023822918769</x:v>
      </x:c>
      <x:c r="L25" s="16" t="str">
        <x:v>B</x:v>
      </x:c>
      <x:c r="M25" s="16" t="n">
        <x:v>3</x:v>
      </x:c>
      <x:c r="N25" s="16" t="str">
        <x:v>source-003</x:v>
      </x:c>
      <x:c r="O25" s="16" t="str">
        <x:v>Latest expected or projected state on or before cutoff for each Epoch-covered U.S. site</x:v>
      </x:c>
    </x:row>
  </x:sheetData>
  <x:mergeCells>
    <x:mergeCell ref="A1:O2"/>
    <x:mergeCell ref="A3:O3"/>
  </x:mergeCells>
  <x:pageMargins left="0.7" right="0.7" top="0.75" bottom="0.75" header="0.3" footer="0.3"/>
  <x:drawing xmlns:r="http://schemas.openxmlformats.org/officeDocument/2006/relationships" r:id="R2266eb8538f04e3b"/>
  <x:tableParts count="1">
    <x:tablePart xmlns:r="http://schemas.openxmlformats.org/officeDocument/2006/relationships" r:id="R4d337250e6d249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2" hidden="0" customWidth="1"/>
    <x:col min="4" max="4" width="62" hidden="0" customWidth="1"/>
  </x:cols>
  <x:sheetData>
    <x:row r="1" ht="26" customHeight="1">
      <x:c r="A1" s="3" t="str">
        <x:v>Serving Envelope and Demand Archetype</x:v>
      </x:c>
      <x:c r="B1" s="3"/>
      <x:c r="C1" s="3"/>
      <x:c r="D1" s="3"/>
    </x:row>
    <x:row r="2" ht="26" customHeight="1">
      <x:c r="A2" s="3"/>
      <x:c r="B2" s="3"/>
      <x:c r="C2" s="3"/>
      <x:c r="D2" s="3"/>
    </x:row>
    <x:row r="3" ht="36" hidden="0" customHeight="1">
      <x:c r="A3" s="6" t="str">
        <x:v>All population, allocation, workload, and hardware-normalization assumptions read directly from compute-capacity.json.</x:v>
      </x:c>
      <x:c r="B3" s="6"/>
      <x:c r="C3" s="6"/>
      <x:c r="D3" s="6"/>
    </x:row>
    <x:row r="4"/>
    <x:row r="5" ht="39.599998474121094" hidden="0" customHeight="1">
      <x:c r="A5" s="12" t="str">
        <x:v>Group</x:v>
      </x:c>
      <x:c r="B5" s="12" t="str">
        <x:v>Variable</x:v>
      </x:c>
      <x:c r="C5" s="12" t="str">
        <x:v>Value</x:v>
      </x:c>
      <x:c r="D5" s="12" t="str">
        <x:v>Unit / explanation</x:v>
      </x:c>
    </x:row>
    <x:row r="6" ht="21.600000381469727" hidden="0" customHeight="1">
      <x:c r="A6" s="16" t="str">
        <x:v>Population</x:v>
      </x:c>
      <x:c r="B6" s="16" t="str">
        <x:v>U.S. residents</x:v>
      </x:c>
      <x:c r="C6" s="16" t="n">
        <x:v>342800000</x:v>
      </x:c>
      <x:c r="D6" s="16" t="str">
        <x:v>people</x:v>
      </x:c>
    </x:row>
    <x:row r="7" ht="21.600000381469727" hidden="0" customHeight="1">
      <x:c r="A7" s="16" t="str">
        <x:v>Population</x:v>
      </x:c>
      <x:c r="B7" s="16" t="str">
        <x:v>Selected target</x:v>
      </x:c>
      <x:c r="C7" s="24" t="n">
        <x:v>0.5</x:v>
      </x:c>
      <x:c r="D7" s="16" t="str">
        <x:v>share of residents</x:v>
      </x:c>
    </x:row>
    <x:row r="8" ht="43.20000076293945" hidden="0" customHeight="1">
      <x:c r="A8" s="16" t="str">
        <x:v>Population</x:v>
      </x:c>
      <x:c r="B8" s="16" t="str">
        <x:v>Supply gate share of selected target</x:v>
      </x:c>
      <x:c r="C8" s="24" t="n">
        <x:v>1</x:v>
      </x:c>
      <x:c r="D8" s="16" t="str">
        <x:v>100% in the default</x:v>
      </x:c>
    </x:row>
    <x:row r="9" ht="43.20000076293945" hidden="0" customHeight="1">
      <x:c r="A9" s="16" t="str">
        <x:v>Serving</x:v>
      </x:c>
      <x:c r="B9" s="16" t="str">
        <x:v>Dense 8-bit ops / H100e-second</x:v>
      </x:c>
      <x:c r="C9" s="16" t="n">
        <x:v>1979000000000000</x:v>
      </x:c>
      <x:c r="D9" s="16" t="str">
        <x:v>ops/s</x:v>
      </x:c>
    </x:row>
    <x:row r="10" ht="21.600000381469727" hidden="0" customHeight="1">
      <x:c r="A10" s="16" t="str">
        <x:v>Serving</x:v>
      </x:c>
      <x:c r="B10" s="16" t="str">
        <x:v>Seconds per day</x:v>
      </x:c>
      <x:c r="C10" s="16" t="n">
        <x:v>86400</x:v>
      </x:c>
      <x:c r="D10" s="16" t="str">
        <x:v>seconds</x:v>
      </x:c>
    </x:row>
    <x:row r="11" ht="32.400001525878906" hidden="0" customHeight="1">
      <x:c r="A11" s="16" t="str">
        <x:v>Serving</x:v>
      </x:c>
      <x:c r="B11" s="16" t="str">
        <x:v>Fleet share allocated to inference</x:v>
      </x:c>
      <x:c r="C11" s="24" t="n">
        <x:v>0.4</x:v>
      </x:c>
      <x:c r="D11" s="16" t="str">
        <x:v>share</x:v>
      </x:c>
    </x:row>
    <x:row r="12" ht="21.600000381469727" hidden="0" customHeight="1">
      <x:c r="A12" s="16" t="str">
        <x:v>Serving</x:v>
      </x:c>
      <x:c r="B12" s="16" t="str">
        <x:v>Sustained utilization</x:v>
      </x:c>
      <x:c r="C12" s="24" t="n">
        <x:v>0.35</x:v>
      </x:c>
      <x:c r="D12" s="16" t="str">
        <x:v>share of peak</x:v>
      </x:c>
    </x:row>
    <x:row r="13" ht="32.400001525878906" hidden="0" customHeight="1">
      <x:c r="A13" s="16" t="str">
        <x:v>Serving</x:v>
      </x:c>
      <x:c r="B13" s="16" t="str">
        <x:v>Active model parameters</x:v>
      </x:c>
      <x:c r="C13" s="16" t="n">
        <x:v>100000000000</x:v>
      </x:c>
      <x:c r="D13" s="16" t="str">
        <x:v>parameters</x:v>
      </x:c>
    </x:row>
    <x:row r="14" ht="43.20000076293945" hidden="0" customHeight="1">
      <x:c r="A14" s="16" t="str">
        <x:v>Serving</x:v>
      </x:c>
      <x:c r="B14" s="16" t="str">
        <x:v>Forward-pass ops / parameter-token</x:v>
      </x:c>
      <x:c r="C14" s="16" t="n">
        <x:v>2</x:v>
      </x:c>
      <x:c r="D14" s="16" t="str">
        <x:v>ops</x:v>
      </x:c>
    </x:row>
    <x:row r="15" ht="21.600000381469727" hidden="0" customHeight="1">
      <x:c r="A15" s="16" t="str">
        <x:v>Serving</x:v>
      </x:c>
      <x:c r="B15" s="16" t="str">
        <x:v>System overhead</x:v>
      </x:c>
      <x:c r="C15" s="16" t="n">
        <x:v>1.5</x:v>
      </x:c>
      <x:c r="D15" s="16" t="str">
        <x:v>multiplier</x:v>
      </x:c>
    </x:row>
    <x:row r="16" ht="21.600000381469727" hidden="0" customHeight="1">
      <x:c r="A16" s="16" t="str">
        <x:v>Serving</x:v>
      </x:c>
      <x:c r="B16" s="16" t="str">
        <x:v>Serving goodput</x:v>
      </x:c>
      <x:c r="C16" s="16" t="n">
        <x:v>1</x:v>
      </x:c>
      <x:c r="D16" s="16" t="str">
        <x:v>multiplier</x:v>
      </x:c>
    </x:row>
    <x:row r="17" ht="32.400001525878906" hidden="0" customHeight="1">
      <x:c r="A17" s="16" t="str">
        <x:v>Serving</x:v>
      </x:c>
      <x:c r="B17" s="16" t="str">
        <x:v>Personal-AI inference share</x:v>
      </x:c>
      <x:c r="C17" s="24" t="n">
        <x:v>0.5</x:v>
      </x:c>
      <x:c r="D17" s="16" t="str">
        <x:v>scenario allocation</x:v>
      </x:c>
    </x:row>
    <x:row r="18" ht="64.80000305175781" hidden="0" customHeight="1">
      <x:c r="A18" s="16" t="str">
        <x:v>Workload</x:v>
      </x:c>
      <x:c r="B18" s="16" t="str">
        <x:v>Uncached input</x:v>
      </x:c>
      <x:c r="C18" s="16" t="n">
        <x:v>2000000</x:v>
      </x:c>
      <x:c r="D18" s="16" t="str">
        <x:v>1× compute weight = 2,000,000 compute-equivalent tokens</x:v>
      </x:c>
    </x:row>
    <x:row r="19" ht="75.5999984741211" hidden="0" customHeight="1">
      <x:c r="A19" s="16" t="str">
        <x:v>Workload</x:v>
      </x:c>
      <x:c r="B19" s="16" t="str">
        <x:v>Visible output</x:v>
      </x:c>
      <x:c r="C19" s="16" t="n">
        <x:v>300000</x:v>
      </x:c>
      <x:c r="D19" s="16" t="str">
        <x:v>2.5× compute weight = 750,000 compute-equivalent tokens</x:v>
      </x:c>
    </x:row>
    <x:row r="20" ht="75.5999984741211" hidden="0" customHeight="1">
      <x:c r="A20" s="16" t="str">
        <x:v>Workload</x:v>
      </x:c>
      <x:c r="B20" s="16" t="str">
        <x:v>Internal reasoning</x:v>
      </x:c>
      <x:c r="C20" s="16" t="n">
        <x:v>5000000</x:v>
      </x:c>
      <x:c r="D20" s="16" t="str">
        <x:v>2.5× compute weight = 12,500,000 compute-equivalent tokens</x:v>
      </x:c>
    </x:row>
    <x:row r="21" ht="75.5999984741211" hidden="0" customHeight="1">
      <x:c r="A21" s="16" t="str">
        <x:v>Workload</x:v>
      </x:c>
      <x:c r="B21" s="16" t="str">
        <x:v>Cached/reused context</x:v>
      </x:c>
      <x:c r="C21" s="16" t="n">
        <x:v>10000000</x:v>
      </x:c>
      <x:c r="D21" s="16" t="str">
        <x:v>0.15× compute weight = 1,500,000 compute-equivalent tokens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851bb1a45bc644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40" hidden="0" customWidth="1"/>
    <x:col min="4" max="4" width="14" hidden="0" customWidth="1"/>
    <x:col min="5" max="5" width="24" hidden="0" customWidth="1"/>
    <x:col min="6" max="6" width="58" hidden="0" customWidth="1"/>
    <x:col min="7" max="7" width="55" hidden="0" customWidth="1"/>
  </x:cols>
  <x:sheetData>
    <x:row r="1" ht="26" customHeight="1">
      <x:c r="A1" s="3" t="str">
        <x:v>Source Registry and Provenance</x:v>
      </x:c>
      <x:c r="B1" s="3"/>
      <x:c r="C1" s="3"/>
      <x:c r="D1" s="3"/>
      <x:c r="E1" s="3"/>
      <x:c r="F1" s="3"/>
      <x:c r="G1" s="3"/>
    </x:row>
    <x:row r="2" ht="26" customHeight="1">
      <x:c r="A2" s="3"/>
      <x:c r="B2" s="3"/>
      <x:c r="C2" s="3"/>
      <x:c r="D2" s="3"/>
      <x:c r="E2" s="3"/>
      <x:c r="F2" s="3"/>
      <x:c r="G2" s="3"/>
    </x:row>
    <x:row r="3" ht="24" hidden="0" customHeight="1">
      <x:c r="A3" s="6" t="str">
        <x:v>Public source URLs captured in the selected snapshot. The same metadata appears in the website's data-sources modal.</x:v>
      </x:c>
      <x:c r="B3" s="6"/>
      <x:c r="C3" s="6"/>
      <x:c r="D3" s="6"/>
      <x:c r="E3" s="6"/>
      <x:c r="F3" s="6"/>
      <x:c r="G3" s="6"/>
    </x:row>
    <x:row r="4"/>
    <x:row r="5" ht="26.399999618530273" hidden="0" customHeight="1">
      <x:c r="A5" s="12" t="str">
        <x:v>Source ID</x:v>
      </x:c>
      <x:c r="B5" s="12" t="str">
        <x:v>Publisher</x:v>
      </x:c>
      <x:c r="C5" s="12" t="str">
        <x:v>Title</x:v>
      </x:c>
      <x:c r="D5" s="12" t="str">
        <x:v>Accessed</x:v>
      </x:c>
      <x:c r="E5" s="12" t="str">
        <x:v>Roles</x:v>
      </x:c>
      <x:c r="F5" s="12" t="str">
        <x:v>Public URL</x:v>
      </x:c>
      <x:c r="G5" s="12" t="str">
        <x:v>Notes</x:v>
      </x:c>
    </x:row>
    <x:row r="6" ht="97.19999694824219" hidden="0" customHeight="1">
      <x:c r="A6" s="16" t="str">
        <x:v>source-001</x:v>
      </x:c>
      <x:c r="B6" s="16" t="str">
        <x:v>Personal AI forecast</x:v>
      </x:c>
      <x:c r="C6" s="16" t="str">
        <x:v>Model-harness capability report card — HTML</x:v>
      </x:c>
      <x:c r="D6" s="16" t="str">
        <x:v>2026-08-26</x:v>
      </x:c>
      <x:c r="E6" s="16" t="str">
        <x:v>cross-report reference</x:v>
      </x:c>
      <x:c r="F6" s="16" t="str">
        <x:v>https://diffuse-personal-ai-countdown.buddywilliams.chatgpt.site/?report=capability</x:v>
      </x:c>
      <x:c r="G6" s="16" t="str">
        <x:v>Capability uses the same snapshot and shared model; its default 75% crossing is 2027-11-13.</x:v>
      </x:c>
    </x:row>
    <x:row r="7" ht="86.4000015258789" hidden="0" customHeight="1">
      <x:c r="A7" s="16" t="str">
        <x:v>source-002</x:v>
      </x:c>
      <x:c r="B7" s="16" t="str">
        <x:v>Epoch AI</x:v>
      </x:c>
      <x:c r="C7" s="16" t="str">
        <x:v>AI Data Centers</x:v>
      </x:c>
      <x:c r="D7" s="16" t="str">
        <x:v>2026-08-26</x:v>
      </x:c>
      <x:c r="E7" s="16" t="str">
        <x:v>capacity methodology</x:v>
      </x:c>
      <x:c r="F7" s="16" t="str">
        <x:v>https://epoch.ai/data/ai-data-centers</x:v>
      </x:c>
      <x:c r="G7" s="16" t="str">
        <x:v>Defines dataset scope, H100e convention, coverage, and uncertainty.</x:v>
      </x:c>
    </x:row>
    <x:row r="8" ht="140.39999389648438" hidden="0" customHeight="1">
      <x:c r="A8" s="16" t="str">
        <x:v>source-003</x:v>
      </x:c>
      <x:c r="B8" s="16" t="str">
        <x:v>Epoch AI</x:v>
      </x:c>
      <x:c r="C8" s="16" t="str">
        <x:v>AI Data Center Timelines CSV</x:v>
      </x:c>
      <x:c r="D8" s="16" t="str">
        <x:v>2026-08-25</x:v>
      </x:c>
      <x:c r="E8" s="16" t="str">
        <x:v>capacity observation, capacity projection</x:v>
      </x:c>
      <x:c r="F8" s="16" t="str">
        <x:v>https://epoch.ai/data/data_centers/data_center_timelines.csv</x:v>
      </x:c>
      <x:c r="G8" s="16" t="str">
        <x:v>Observed quarters use the latest operational state at each cutoff; forward quarters use the latest expected/projected state dated by each cutoff.</x:v>
      </x:c>
    </x:row>
    <x:row r="9" ht="54" hidden="0" customHeight="1">
      <x:c r="A9" s="16" t="str">
        <x:v>source-004</x:v>
      </x:c>
      <x:c r="B9" s="16" t="str">
        <x:v>Epoch AI</x:v>
      </x:c>
      <x:c r="C9" s="16" t="str">
        <x:v>AI Data Centers CSV</x:v>
      </x:c>
      <x:c r="D9" s="16" t="str">
        <x:v>2026-08-25</x:v>
      </x:c>
      <x:c r="E9" s="16" t="str">
        <x:v>capacity registry</x:v>
      </x:c>
      <x:c r="F9" s="16" t="str">
        <x:v>https://epoch.ai/data/data_centers/data_centers.csv</x:v>
      </x:c>
      <x:c r="G9" s="16" t="str">
        <x:v>Provides the country filter and current site registry.</x:v>
      </x:c>
    </x:row>
    <x:row r="10" ht="108" hidden="0" customHeight="1">
      <x:c r="A10" s="16" t="str">
        <x:v>source-005</x:v>
      </x:c>
      <x:c r="B10" s="16" t="str">
        <x:v>Personal AI forecast</x:v>
      </x:c>
      <x:c r="C10" s="16" t="str">
        <x:v>Report-card calculation contract</x:v>
      </x:c>
      <x:c r="D10" s="16" t="str">
        <x:v>2026-08-26</x:v>
      </x:c>
      <x:c r="E10" s="16" t="str">
        <x:v>methodology</x:v>
      </x:c>
      <x:c r="F10" s="16" t="str">
        <x:v>https://github.com/buwilliams/diffuse-personal-ai/blob/main/intent/02-model/06-report-card-calculations.md</x:v>
      </x:c>
      <x:c r="G10" s="16" t="str">
        <x:v>Defines the serving envelope and high-autonomy token mix; assumptions remain editable.</x:v>
      </x:c>
    </x:row>
    <x:row r="11" ht="108" hidden="0" customHeight="1">
      <x:c r="A11" s="16" t="str">
        <x:v>source-006</x:v>
      </x:c>
      <x:c r="B11" s="16" t="str">
        <x:v>U.S. Census Bureau</x:v>
      </x:c>
      <x:c r="C11" s="16" t="str">
        <x:v>Population on a Date</x:v>
      </x:c>
      <x:c r="D11" s="16" t="str">
        <x:v>2026-07-26</x:v>
      </x:c>
      <x:c r="E11" s="16" t="str">
        <x:v>population</x:v>
      </x:c>
      <x:c r="F11" s="16" t="str">
        <x:v>https://www.census.gov/popclock/</x:v>
      </x:c>
      <x:c r="G11" s="16" t="str">
        <x:v>The model uses the rounded estimate of 342.8M residents; the selected 50% target is 171.4M users.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008262a85b9948d9"/>
  </x:tableParts>
</x:worksheet>
</file>